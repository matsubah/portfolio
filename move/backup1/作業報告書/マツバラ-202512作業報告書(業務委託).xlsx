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報告書" sheetId="1" r:id="rId4"/>
  </sheets>
  <definedNames>
    <definedName localSheetId="0" name="Z_26A10500_03CE_7149_B1AD_E6C9140E2124_.wvu.Cols">#REF!</definedName>
  </definedNames>
  <calcPr/>
</workbook>
</file>

<file path=xl/sharedStrings.xml><?xml version="1.0" encoding="utf-8"?>
<sst xmlns="http://schemas.openxmlformats.org/spreadsheetml/2006/main" count="55" uniqueCount="39">
  <si>
    <t>【宛先】
　レバテック株式会社
　〒150-6190
　　東京都渋谷区渋谷2-24-12 渋谷スクランブルスクエア24階
　　TEL：03-5774-1762</t>
  </si>
  <si>
    <t>対象年月</t>
  </si>
  <si>
    <t>★対象年月を選択して下さい！！</t>
  </si>
  <si>
    <t>参画先企業名</t>
  </si>
  <si>
    <t>株式会社LIFULL</t>
  </si>
  <si>
    <t>作業従事者</t>
  </si>
  <si>
    <t>松原　明臣</t>
  </si>
  <si>
    <t>印</t>
  </si>
  <si>
    <t>★必ずお名前をご記入下さい！！</t>
  </si>
  <si>
    <r>
      <rPr>
        <rFont val="Calibri"/>
        <color theme="1"/>
        <sz val="10.0"/>
      </rPr>
      <t>To</t>
    </r>
    <r>
      <rPr>
        <rFont val="Calibri"/>
        <color theme="1"/>
        <sz val="10.0"/>
      </rPr>
      <t>：</t>
    </r>
  </si>
  <si>
    <t>report@levtech.jp</t>
  </si>
  <si>
    <t>■作業時間/作業内容</t>
  </si>
  <si>
    <t>月</t>
  </si>
  <si>
    <t>日</t>
  </si>
  <si>
    <t>曜日</t>
  </si>
  <si>
    <t>開始時刻</t>
  </si>
  <si>
    <t>終了時刻</t>
  </si>
  <si>
    <t>休憩時間</t>
  </si>
  <si>
    <t>業務時間</t>
  </si>
  <si>
    <t>作業内容</t>
  </si>
  <si>
    <t>【注意事項】</t>
  </si>
  <si>
    <t>コーディング、ミーティング（在宅勤務）</t>
  </si>
  <si>
    <t>①作業内容をできる限り具体的に記入してください。</t>
  </si>
  <si>
    <t>②当月末営業日もしくは翌月1日までに</t>
  </si>
  <si>
    <t>コーディング、ミーティング（出社勤務）</t>
  </si>
  <si>
    <t xml:space="preserve">　記載のメールの宛先に送っていただきますようお願いいたします。</t>
  </si>
  <si>
    <t>③対象年月を変更する場合は「J3」で対象年月をリストより選択してください。</t>
  </si>
  <si>
    <t>コーディング、ミーティング（在宅勤務、MTGのため午後から出社勤務、その他休憩取得）</t>
  </si>
  <si>
    <t xml:space="preserve">　(日付・曜日が自動変更されます)</t>
  </si>
  <si>
    <t>コーディング、ミーティング（在宅勤務、その他休憩取得）</t>
  </si>
  <si>
    <t>コーディング、ミーティング（出社勤務、公共交通遅延により11:15出社）</t>
  </si>
  <si>
    <t>私用のため全休</t>
  </si>
  <si>
    <t>会社休日</t>
  </si>
  <si>
    <t>作業日数</t>
  </si>
  <si>
    <t>作業時間合計</t>
  </si>
  <si>
    <t>■その他事項（進捗や品質，課題について報告・共有事項があれば以下に記載）</t>
  </si>
  <si>
    <t>2020年2月〜　現場での指示により遅刻免除措置適用中（11:00までの遅刻を免除、限定運用により終了時期は別途案内予定）
2020年3月30日〜　原則在宅勤務に変更（事前報告、勤務開始／終了の報告は別途行う必要あり）
2021年1月4日〜　原則週5日在宅勤務に変更
押印不要で現場確認済み</t>
  </si>
  <si>
    <t>承認印</t>
  </si>
  <si>
    <t>★左記の承認印欄に現場上長の判子をいただいてください。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</si>
</sst>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h]:mm"/>
    <numFmt numFmtId="165" formatCode="yyyy&quot;年&quot;m&quot;月&quot;"/>
    <numFmt numFmtId="166" formatCode="mm"/>
    <numFmt numFmtId="167" formatCode="dd"/>
    <numFmt numFmtId="168" formatCode="ddd"/>
    <numFmt numFmtId="169" formatCode="0.00_);[Red]\(0.00\)"/>
  </numFmts>
  <fonts count="15">
    <font>
      <sz val="11.0"/>
      <color rgb="FF000000"/>
      <name val="Calibri"/>
      <scheme val="minor"/>
    </font>
    <font>
      <b/>
      <sz val="22.0"/>
      <color theme="1"/>
      <name val="MS Mincho"/>
    </font>
    <font/>
    <font>
      <sz val="11.0"/>
      <color rgb="FFFF0000"/>
      <name val="MS Mincho"/>
    </font>
    <font>
      <b/>
      <sz val="11.0"/>
      <color theme="1"/>
      <name val="MS Mincho"/>
    </font>
    <font>
      <sz val="11.0"/>
      <color theme="1"/>
      <name val="MS Mincho"/>
    </font>
    <font>
      <b/>
      <sz val="11.0"/>
      <color rgb="FFFF0000"/>
      <name val="MS Mincho"/>
    </font>
    <font>
      <sz val="10.0"/>
      <color theme="1"/>
      <name val="Calibri"/>
      <scheme val="minor"/>
    </font>
    <font>
      <b/>
      <sz val="10.0"/>
      <color theme="1"/>
      <name val="Calibri"/>
      <scheme val="minor"/>
    </font>
    <font>
      <u/>
      <sz val="10.0"/>
      <color rgb="FF0000FF"/>
    </font>
    <font>
      <sz val="11.0"/>
      <color theme="1"/>
      <name val="Calibri"/>
      <scheme val="minor"/>
    </font>
    <font>
      <color theme="1"/>
      <name val="Calibri"/>
    </font>
    <font>
      <sz val="7.0"/>
      <color theme="1"/>
      <name val="Calibri"/>
    </font>
    <font>
      <sz val="7.0"/>
      <color theme="1"/>
      <name val="Calibri"/>
      <scheme val="minor"/>
    </font>
    <font>
      <b/>
      <sz val="11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99CCFF"/>
        <bgColor rgb="FF99CCFF"/>
      </patternFill>
    </fill>
  </fills>
  <borders count="3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bottom/>
    </border>
    <border>
      <bottom/>
    </border>
    <border>
      <right style="thin">
        <color rgb="FF000000"/>
      </right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left/>
      <right/>
      <bottom/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3" fontId="3" numFmtId="0" xfId="0" applyAlignment="1" applyBorder="1" applyFill="1" applyFont="1">
      <alignment horizontal="right" vertical="center"/>
    </xf>
    <xf borderId="4" fillId="3" fontId="4" numFmtId="164" xfId="0" applyAlignment="1" applyBorder="1" applyFont="1" applyNumberFormat="1">
      <alignment vertical="center"/>
    </xf>
    <xf borderId="0" fillId="3" fontId="5" numFmtId="164" xfId="0" applyAlignment="1" applyFont="1" applyNumberFormat="1">
      <alignment vertical="center"/>
    </xf>
    <xf borderId="0" fillId="3" fontId="4" numFmtId="164" xfId="0" applyAlignment="1" applyFont="1" applyNumberFormat="1">
      <alignment vertical="center"/>
    </xf>
    <xf borderId="0" fillId="3" fontId="5" numFmtId="0" xfId="0" applyAlignment="1" applyFont="1">
      <alignment vertical="center"/>
    </xf>
    <xf borderId="4" fillId="2" fontId="5" numFmtId="0" xfId="0" applyAlignment="1" applyBorder="1" applyFont="1">
      <alignment vertical="center"/>
    </xf>
    <xf borderId="4" fillId="3" fontId="6" numFmtId="0" xfId="0" applyAlignment="1" applyBorder="1" applyFont="1">
      <alignment vertical="center"/>
    </xf>
    <xf borderId="4" fillId="3" fontId="5" numFmtId="0" xfId="0" applyAlignment="1" applyBorder="1" applyFont="1">
      <alignment vertical="center"/>
    </xf>
    <xf borderId="5" fillId="2" fontId="7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4" fontId="8" numFmtId="0" xfId="0" applyAlignment="1" applyBorder="1" applyFill="1" applyFont="1">
      <alignment horizontal="center" vertical="center"/>
    </xf>
    <xf borderId="9" fillId="0" fontId="7" numFmtId="165" xfId="0" applyAlignment="1" applyBorder="1" applyFont="1" applyNumberFormat="1">
      <alignment horizontal="center" readingOrder="0" vertical="center"/>
    </xf>
    <xf borderId="10" fillId="0" fontId="2" numFmtId="0" xfId="0" applyAlignment="1" applyBorder="1" applyFont="1">
      <alignment vertical="center"/>
    </xf>
    <xf borderId="0" fillId="3" fontId="6" numFmtId="0" xfId="0" applyAlignment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4" fontId="8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15" fillId="0" fontId="2" numFmtId="0" xfId="0" applyAlignment="1" applyBorder="1" applyFont="1">
      <alignment vertical="center"/>
    </xf>
    <xf borderId="0" fillId="3" fontId="3" numFmtId="0" xfId="0" applyAlignment="1" applyFont="1">
      <alignment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15" fillId="0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right" shrinkToFit="0" vertical="center" wrapText="1"/>
    </xf>
    <xf borderId="1" fillId="2" fontId="9" numFmtId="0" xfId="0" applyAlignment="1" applyBorder="1" applyFont="1">
      <alignment horizontal="left" shrinkToFit="0" vertical="center" wrapText="1"/>
    </xf>
    <xf borderId="4" fillId="2" fontId="7" numFmtId="0" xfId="0" applyAlignment="1" applyBorder="1" applyFont="1">
      <alignment vertical="center"/>
    </xf>
    <xf borderId="22" fillId="2" fontId="10" numFmtId="0" xfId="0" applyAlignment="1" applyBorder="1" applyFont="1">
      <alignment horizontal="left" vertical="center"/>
    </xf>
    <xf borderId="23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25" fillId="4" fontId="8" numFmtId="0" xfId="0" applyAlignment="1" applyBorder="1" applyFont="1">
      <alignment horizontal="center" shrinkToFit="1" vertical="center" wrapText="0"/>
    </xf>
    <xf borderId="14" fillId="4" fontId="8" numFmtId="0" xfId="0" applyAlignment="1" applyBorder="1" applyFont="1">
      <alignment horizontal="center" shrinkToFit="1" vertical="center" wrapText="0"/>
    </xf>
    <xf borderId="26" fillId="0" fontId="2" numFmtId="0" xfId="0" applyAlignment="1" applyBorder="1" applyFont="1">
      <alignment vertical="center"/>
    </xf>
    <xf borderId="16" fillId="0" fontId="7" numFmtId="166" xfId="0" applyAlignment="1" applyBorder="1" applyFont="1" applyNumberFormat="1">
      <alignment horizontal="center" shrinkToFit="1" vertical="center" wrapText="0"/>
    </xf>
    <xf borderId="16" fillId="0" fontId="7" numFmtId="167" xfId="0" applyAlignment="1" applyBorder="1" applyFont="1" applyNumberFormat="1">
      <alignment horizontal="center" shrinkToFit="1" vertical="center" wrapText="0"/>
    </xf>
    <xf borderId="16" fillId="0" fontId="7" numFmtId="168" xfId="0" applyAlignment="1" applyBorder="1" applyFont="1" applyNumberFormat="1">
      <alignment horizontal="center" shrinkToFit="1" vertical="center" wrapText="0"/>
    </xf>
    <xf borderId="16" fillId="0" fontId="11" numFmtId="20" xfId="0" applyAlignment="1" applyBorder="1" applyFont="1" applyNumberFormat="1">
      <alignment horizontal="center" readingOrder="0" vertical="center"/>
    </xf>
    <xf borderId="16" fillId="0" fontId="11" numFmtId="20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3" fillId="2" fontId="5" numFmtId="0" xfId="0" applyAlignment="1" applyBorder="1" applyFont="1">
      <alignment vertical="center"/>
    </xf>
    <xf borderId="9" fillId="0" fontId="13" numFmtId="0" xfId="0" applyAlignment="1" applyBorder="1" applyFont="1">
      <alignment readingOrder="0" shrinkToFit="0" vertical="center" wrapText="0"/>
    </xf>
    <xf borderId="9" fillId="0" fontId="13" numFmtId="0" xfId="0" applyAlignment="1" applyBorder="1" applyFont="1">
      <alignment readingOrder="0" shrinkToFit="0" vertical="center" wrapText="1"/>
    </xf>
    <xf borderId="0" fillId="3" fontId="5" numFmtId="165" xfId="0" applyAlignment="1" applyFont="1" applyNumberFormat="1">
      <alignment horizontal="center" vertical="center"/>
    </xf>
    <xf borderId="9" fillId="0" fontId="12" numFmtId="0" xfId="0" applyAlignment="1" applyBorder="1" applyFont="1">
      <alignment readingOrder="0" vertical="center"/>
    </xf>
    <xf borderId="28" fillId="0" fontId="7" numFmtId="166" xfId="0" applyAlignment="1" applyBorder="1" applyFont="1" applyNumberFormat="1">
      <alignment horizontal="center" shrinkToFit="1" vertical="center" wrapText="0"/>
    </xf>
    <xf borderId="28" fillId="0" fontId="7" numFmtId="167" xfId="0" applyAlignment="1" applyBorder="1" applyFont="1" applyNumberFormat="1">
      <alignment horizontal="center" shrinkToFit="1" vertical="center" wrapText="0"/>
    </xf>
    <xf borderId="9" fillId="4" fontId="8" numFmtId="0" xfId="0" applyAlignment="1" applyBorder="1" applyFont="1">
      <alignment horizontal="center" vertical="center"/>
    </xf>
    <xf borderId="8" fillId="0" fontId="7" numFmtId="0" xfId="0" applyAlignment="1" applyBorder="1" applyFont="1">
      <alignment vertical="center"/>
    </xf>
    <xf borderId="29" fillId="4" fontId="8" numFmtId="0" xfId="0" applyAlignment="1" applyBorder="1" applyFont="1">
      <alignment horizontal="center" vertical="center"/>
    </xf>
    <xf borderId="18" fillId="0" fontId="7" numFmtId="164" xfId="0" applyAlignment="1" applyBorder="1" applyFont="1" applyNumberFormat="1">
      <alignment horizontal="center" shrinkToFit="1" vertical="center" wrapText="0"/>
    </xf>
    <xf borderId="30" fillId="2" fontId="7" numFmtId="169" xfId="0" applyAlignment="1" applyBorder="1" applyFont="1" applyNumberFormat="1">
      <alignment vertical="center"/>
    </xf>
    <xf borderId="30" fillId="2" fontId="7" numFmtId="0" xfId="0" applyAlignment="1" applyBorder="1" applyFont="1">
      <alignment vertical="center"/>
    </xf>
    <xf borderId="4" fillId="3" fontId="5" numFmtId="165" xfId="0" applyAlignment="1" applyBorder="1" applyFont="1" applyNumberFormat="1">
      <alignment horizontal="center" vertical="center"/>
    </xf>
    <xf borderId="31" fillId="0" fontId="10" numFmtId="0" xfId="0" applyAlignment="1" applyBorder="1" applyFont="1">
      <alignment horizontal="left" vertical="center"/>
    </xf>
    <xf borderId="31" fillId="0" fontId="2" numFmtId="0" xfId="0" applyAlignment="1" applyBorder="1" applyFont="1">
      <alignment vertical="center"/>
    </xf>
    <xf borderId="14" fillId="0" fontId="7" numFmtId="0" xfId="0" applyAlignment="1" applyBorder="1" applyFont="1">
      <alignment horizontal="left" shrinkToFit="0" vertical="top" wrapText="1"/>
    </xf>
    <xf borderId="32" fillId="0" fontId="2" numFmtId="0" xfId="0" applyAlignment="1" applyBorder="1" applyFont="1">
      <alignment vertical="center"/>
    </xf>
    <xf borderId="8" fillId="4" fontId="14" numFmtId="0" xfId="0" applyAlignment="1" applyBorder="1" applyFont="1">
      <alignment horizontal="center" vertical="center"/>
    </xf>
    <xf borderId="13" fillId="2" fontId="7" numFmtId="0" xfId="0" applyAlignment="1" applyBorder="1" applyFont="1">
      <alignment horizontal="center" vertical="center"/>
    </xf>
    <xf borderId="4" fillId="3" fontId="6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2">
    <dxf>
      <font/>
      <fill>
        <patternFill patternType="solid">
          <fgColor rgb="FFFF99CC"/>
          <bgColor rgb="FFFF99CC"/>
        </patternFill>
      </fill>
      <border/>
    </dxf>
    <dxf>
      <font/>
      <fill>
        <patternFill patternType="solid">
          <fgColor rgb="FFCCFFFF"/>
          <bgColor rgb="FFCC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eport@leverages.j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3" width="3.86"/>
    <col customWidth="1" min="4" max="4" width="6.0"/>
    <col customWidth="1" min="5" max="8" width="10.29"/>
    <col customWidth="1" min="9" max="9" width="15.0"/>
    <col customWidth="1" min="10" max="10" width="25.71"/>
    <col customWidth="1" min="11" max="11" width="8.14"/>
    <col customWidth="1" min="12" max="12" width="2.71"/>
    <col customWidth="1" min="13" max="13" width="8.71"/>
    <col customWidth="1" min="14" max="14" width="9.0"/>
    <col customWidth="1" min="15" max="15" width="10.0"/>
    <col customWidth="1" min="16" max="16" width="9.0"/>
    <col customWidth="1" min="17" max="17" width="7.86"/>
    <col customWidth="1" min="18" max="21" width="9.0"/>
  </cols>
  <sheetData>
    <row r="1" ht="34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>
        <f>H42</f>
        <v>6.03125</v>
      </c>
      <c r="O1" s="6">
        <v>5.833333333333333</v>
      </c>
      <c r="P1" s="6" t="str">
        <f>CONCATENATE("→：約",HOUR((N1-O1)/8),"日可能")</f>
        <v>→：約0日可能</v>
      </c>
      <c r="Q1" s="7"/>
      <c r="R1" s="7" t="str">
        <f>IF(((180/24)-$N$1)&gt;0,CONCATENATE("今月の超過分まで：あと",HOUR((180/24)-$N$1),"時間"),"時間超過")</f>
        <v>今月の超過分まで：あと11時間</v>
      </c>
      <c r="S1" s="8"/>
      <c r="T1" s="8"/>
      <c r="U1" s="8"/>
    </row>
    <row r="2" ht="9.7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  <c r="N2" s="11"/>
      <c r="O2" s="8"/>
      <c r="P2" s="8"/>
      <c r="Q2" s="8"/>
      <c r="R2" s="6"/>
      <c r="S2" s="8"/>
      <c r="T2" s="8"/>
      <c r="U2" s="8"/>
    </row>
    <row r="3" ht="20.25" customHeight="1">
      <c r="A3" s="9"/>
      <c r="B3" s="12" t="s">
        <v>0</v>
      </c>
      <c r="C3" s="13"/>
      <c r="D3" s="13"/>
      <c r="E3" s="13"/>
      <c r="F3" s="13"/>
      <c r="G3" s="13"/>
      <c r="H3" s="14"/>
      <c r="I3" s="15" t="s">
        <v>1</v>
      </c>
      <c r="J3" s="16">
        <v>45992.0</v>
      </c>
      <c r="K3" s="17"/>
      <c r="L3" s="9"/>
      <c r="M3" s="18" t="s">
        <v>2</v>
      </c>
      <c r="N3" s="8"/>
      <c r="O3" s="8"/>
      <c r="P3" s="8"/>
      <c r="Q3" s="8"/>
      <c r="R3" s="8"/>
      <c r="S3" s="8"/>
      <c r="T3" s="8"/>
      <c r="U3" s="8"/>
    </row>
    <row r="4" ht="20.25" customHeight="1">
      <c r="A4" s="9"/>
      <c r="B4" s="19"/>
      <c r="H4" s="20"/>
      <c r="I4" s="21" t="s">
        <v>3</v>
      </c>
      <c r="J4" s="22" t="s">
        <v>4</v>
      </c>
      <c r="K4" s="23"/>
      <c r="L4" s="9"/>
      <c r="M4" s="24"/>
      <c r="N4" s="8"/>
      <c r="O4" s="8"/>
      <c r="P4" s="8"/>
      <c r="Q4" s="8"/>
      <c r="R4" s="8"/>
      <c r="S4" s="8"/>
      <c r="T4" s="8"/>
      <c r="U4" s="8"/>
    </row>
    <row r="5" ht="20.25" customHeight="1">
      <c r="A5" s="9"/>
      <c r="B5" s="19"/>
      <c r="H5" s="20"/>
      <c r="I5" s="25"/>
      <c r="J5" s="26"/>
      <c r="K5" s="27"/>
      <c r="L5" s="9"/>
      <c r="M5" s="24"/>
      <c r="N5" s="8"/>
      <c r="O5" s="8"/>
      <c r="P5" s="8"/>
      <c r="Q5" s="8"/>
      <c r="R5" s="8"/>
      <c r="S5" s="8"/>
      <c r="T5" s="8"/>
      <c r="U5" s="8"/>
    </row>
    <row r="6" ht="20.25" customHeight="1">
      <c r="A6" s="9"/>
      <c r="B6" s="28"/>
      <c r="C6" s="29"/>
      <c r="D6" s="29"/>
      <c r="E6" s="29"/>
      <c r="F6" s="29"/>
      <c r="G6" s="29"/>
      <c r="H6" s="30"/>
      <c r="I6" s="21" t="s">
        <v>5</v>
      </c>
      <c r="J6" s="22" t="s">
        <v>6</v>
      </c>
      <c r="K6" s="31" t="s">
        <v>7</v>
      </c>
      <c r="L6" s="9"/>
      <c r="M6" s="18" t="s">
        <v>8</v>
      </c>
      <c r="N6" s="8"/>
      <c r="O6" s="8"/>
      <c r="P6" s="8"/>
      <c r="Q6" s="8"/>
      <c r="R6" s="8"/>
      <c r="S6" s="8"/>
      <c r="T6" s="8"/>
      <c r="U6" s="8"/>
    </row>
    <row r="7" ht="20.25" customHeight="1">
      <c r="A7" s="9"/>
      <c r="B7" s="32" t="s">
        <v>9</v>
      </c>
      <c r="C7" s="3"/>
      <c r="D7" s="33" t="s">
        <v>10</v>
      </c>
      <c r="E7" s="2"/>
      <c r="F7" s="2"/>
      <c r="G7" s="2"/>
      <c r="H7" s="3"/>
      <c r="I7" s="25"/>
      <c r="J7" s="26"/>
      <c r="K7" s="27"/>
      <c r="L7" s="9"/>
      <c r="M7" s="24"/>
      <c r="N7" s="8"/>
      <c r="O7" s="8"/>
      <c r="P7" s="8"/>
      <c r="Q7" s="8"/>
      <c r="R7" s="8"/>
      <c r="S7" s="8"/>
      <c r="T7" s="8"/>
      <c r="U7" s="8"/>
    </row>
    <row r="8" ht="9.75" customHeight="1">
      <c r="A8" s="9"/>
      <c r="B8" s="34"/>
      <c r="C8" s="34"/>
      <c r="D8" s="34"/>
      <c r="E8" s="34"/>
      <c r="F8" s="34"/>
      <c r="G8" s="34"/>
      <c r="H8" s="34"/>
      <c r="I8" s="34"/>
      <c r="J8" s="34"/>
      <c r="K8" s="34"/>
      <c r="L8" s="9"/>
      <c r="M8" s="24"/>
      <c r="N8" s="8"/>
      <c r="O8" s="8"/>
      <c r="P8" s="8"/>
      <c r="Q8" s="8"/>
      <c r="R8" s="8"/>
      <c r="S8" s="8"/>
      <c r="T8" s="8"/>
      <c r="U8" s="8"/>
    </row>
    <row r="9" ht="20.25" customHeight="1">
      <c r="A9" s="9"/>
      <c r="B9" s="35" t="s">
        <v>11</v>
      </c>
      <c r="C9" s="36"/>
      <c r="D9" s="36"/>
      <c r="E9" s="36"/>
      <c r="F9" s="36"/>
      <c r="G9" s="36"/>
      <c r="H9" s="36"/>
      <c r="I9" s="36"/>
      <c r="J9" s="36"/>
      <c r="K9" s="37"/>
      <c r="L9" s="9"/>
      <c r="M9" s="24"/>
      <c r="N9" s="8"/>
      <c r="O9" s="8"/>
      <c r="P9" s="8"/>
      <c r="Q9" s="8"/>
      <c r="R9" s="8"/>
      <c r="S9" s="8"/>
      <c r="T9" s="8"/>
      <c r="U9" s="8"/>
    </row>
    <row r="10" ht="20.25" customHeight="1">
      <c r="A10" s="9"/>
      <c r="B10" s="38" t="s">
        <v>12</v>
      </c>
      <c r="C10" s="38" t="s">
        <v>13</v>
      </c>
      <c r="D10" s="38" t="s">
        <v>14</v>
      </c>
      <c r="E10" s="38" t="s">
        <v>15</v>
      </c>
      <c r="F10" s="38" t="s">
        <v>16</v>
      </c>
      <c r="G10" s="38" t="s">
        <v>17</v>
      </c>
      <c r="H10" s="38" t="s">
        <v>18</v>
      </c>
      <c r="I10" s="39" t="s">
        <v>19</v>
      </c>
      <c r="J10" s="40"/>
      <c r="K10" s="23"/>
      <c r="L10" s="9"/>
      <c r="M10" s="10" t="s">
        <v>20</v>
      </c>
      <c r="N10" s="11"/>
      <c r="O10" s="8"/>
      <c r="P10" s="8"/>
      <c r="Q10" s="8"/>
      <c r="R10" s="8"/>
      <c r="S10" s="8"/>
      <c r="T10" s="8"/>
      <c r="U10" s="8"/>
    </row>
    <row r="11" ht="20.25" customHeight="1">
      <c r="A11" s="9"/>
      <c r="B11" s="41">
        <f t="shared" ref="B11:B41" si="1">IF(MONTH(DATE(YEAR($J$3),MONTH($J$3),ROW(A1)))=MONTH($J$3),DATE(YEAR($J$3),MONTH($J$3),ROW(A1)),"")</f>
        <v>45992</v>
      </c>
      <c r="C11" s="42">
        <f t="shared" ref="C11:C41" si="2">B11</f>
        <v>45992</v>
      </c>
      <c r="D11" s="43" t="str">
        <f t="shared" ref="D11:D41" si="3">TEXT(B11,"ddd")</f>
        <v>月</v>
      </c>
      <c r="E11" s="44">
        <v>0.4583333333333333</v>
      </c>
      <c r="F11" s="44">
        <v>0.8020833333333334</v>
      </c>
      <c r="G11" s="45">
        <v>0.041666666666666664</v>
      </c>
      <c r="H11" s="45">
        <f t="shared" ref="H11:H15" si="4">IF(OR(E11="",F11=""),0,F11-E11-G11)</f>
        <v>0.3020833333</v>
      </c>
      <c r="I11" s="46" t="s">
        <v>21</v>
      </c>
      <c r="J11" s="47"/>
      <c r="K11" s="17"/>
      <c r="L11" s="48"/>
      <c r="M11" s="24" t="s">
        <v>22</v>
      </c>
      <c r="N11" s="8"/>
      <c r="O11" s="8"/>
      <c r="P11" s="8"/>
      <c r="Q11" s="8"/>
      <c r="R11" s="8"/>
      <c r="S11" s="8"/>
      <c r="T11" s="8"/>
      <c r="U11" s="8"/>
    </row>
    <row r="12" ht="20.25" customHeight="1">
      <c r="A12" s="9"/>
      <c r="B12" s="41">
        <f t="shared" si="1"/>
        <v>45993</v>
      </c>
      <c r="C12" s="42">
        <f t="shared" si="2"/>
        <v>45993</v>
      </c>
      <c r="D12" s="43" t="str">
        <f t="shared" si="3"/>
        <v>火</v>
      </c>
      <c r="E12" s="44">
        <v>0.4583333333333333</v>
      </c>
      <c r="F12" s="44">
        <v>0.8125</v>
      </c>
      <c r="G12" s="45">
        <v>0.041666666666666664</v>
      </c>
      <c r="H12" s="45">
        <f t="shared" si="4"/>
        <v>0.3125</v>
      </c>
      <c r="I12" s="46" t="s">
        <v>21</v>
      </c>
      <c r="J12" s="47"/>
      <c r="K12" s="17"/>
      <c r="L12" s="48"/>
      <c r="M12" s="24" t="s">
        <v>23</v>
      </c>
      <c r="N12" s="8"/>
      <c r="O12" s="8"/>
      <c r="P12" s="8"/>
      <c r="Q12" s="8"/>
      <c r="R12" s="8"/>
      <c r="S12" s="8"/>
      <c r="T12" s="8"/>
      <c r="U12" s="8"/>
    </row>
    <row r="13" ht="20.25" customHeight="1">
      <c r="A13" s="9"/>
      <c r="B13" s="41">
        <f t="shared" si="1"/>
        <v>45994</v>
      </c>
      <c r="C13" s="42">
        <f t="shared" si="2"/>
        <v>45994</v>
      </c>
      <c r="D13" s="43" t="str">
        <f t="shared" si="3"/>
        <v>水</v>
      </c>
      <c r="E13" s="44">
        <v>0.4583333333333333</v>
      </c>
      <c r="F13" s="44">
        <v>0.8333333333333334</v>
      </c>
      <c r="G13" s="45">
        <v>0.041666666666666664</v>
      </c>
      <c r="H13" s="45">
        <f t="shared" si="4"/>
        <v>0.3333333333</v>
      </c>
      <c r="I13" s="49" t="s">
        <v>24</v>
      </c>
      <c r="J13" s="47"/>
      <c r="K13" s="17"/>
      <c r="L13" s="48"/>
      <c r="M13" s="24" t="s">
        <v>25</v>
      </c>
      <c r="N13" s="8"/>
      <c r="O13" s="8"/>
      <c r="P13" s="8"/>
      <c r="Q13" s="8"/>
      <c r="R13" s="8"/>
      <c r="S13" s="8"/>
      <c r="T13" s="8"/>
      <c r="U13" s="8"/>
    </row>
    <row r="14" ht="20.25" customHeight="1">
      <c r="A14" s="9"/>
      <c r="B14" s="41">
        <f t="shared" si="1"/>
        <v>45995</v>
      </c>
      <c r="C14" s="42">
        <f t="shared" si="2"/>
        <v>45995</v>
      </c>
      <c r="D14" s="43" t="str">
        <f t="shared" si="3"/>
        <v>木</v>
      </c>
      <c r="E14" s="44">
        <v>0.4375</v>
      </c>
      <c r="F14" s="44">
        <v>0.8229166666666666</v>
      </c>
      <c r="G14" s="45">
        <v>0.041666666666666664</v>
      </c>
      <c r="H14" s="45">
        <f t="shared" si="4"/>
        <v>0.34375</v>
      </c>
      <c r="I14" s="46" t="s">
        <v>21</v>
      </c>
      <c r="J14" s="47"/>
      <c r="K14" s="17"/>
      <c r="L14" s="48"/>
      <c r="M14" s="24" t="s">
        <v>26</v>
      </c>
      <c r="N14" s="8"/>
      <c r="O14" s="8"/>
      <c r="P14" s="8"/>
      <c r="Q14" s="8"/>
      <c r="R14" s="8"/>
      <c r="S14" s="8"/>
      <c r="T14" s="8"/>
      <c r="U14" s="8"/>
    </row>
    <row r="15" ht="20.25" customHeight="1">
      <c r="A15" s="9"/>
      <c r="B15" s="41">
        <f t="shared" si="1"/>
        <v>45996</v>
      </c>
      <c r="C15" s="42">
        <f t="shared" si="2"/>
        <v>45996</v>
      </c>
      <c r="D15" s="43" t="str">
        <f t="shared" si="3"/>
        <v>金</v>
      </c>
      <c r="E15" s="44">
        <v>0.4166666666666667</v>
      </c>
      <c r="F15" s="44">
        <v>0.7916666666666666</v>
      </c>
      <c r="G15" s="44">
        <v>0.10416666666666667</v>
      </c>
      <c r="H15" s="45">
        <f t="shared" si="4"/>
        <v>0.2708333333</v>
      </c>
      <c r="I15" s="50" t="s">
        <v>27</v>
      </c>
      <c r="J15" s="47"/>
      <c r="K15" s="17"/>
      <c r="L15" s="48"/>
      <c r="M15" s="24" t="s">
        <v>28</v>
      </c>
      <c r="N15" s="8"/>
      <c r="O15" s="8"/>
      <c r="P15" s="8"/>
      <c r="Q15" s="8"/>
      <c r="R15" s="8"/>
      <c r="S15" s="8"/>
      <c r="T15" s="8"/>
      <c r="U15" s="8"/>
    </row>
    <row r="16" ht="20.25" customHeight="1">
      <c r="A16" s="9"/>
      <c r="B16" s="41">
        <f t="shared" si="1"/>
        <v>45997</v>
      </c>
      <c r="C16" s="42">
        <f t="shared" si="2"/>
        <v>45997</v>
      </c>
      <c r="D16" s="43" t="str">
        <f t="shared" si="3"/>
        <v>土</v>
      </c>
      <c r="E16" s="44"/>
      <c r="F16" s="44"/>
      <c r="G16" s="45"/>
      <c r="H16" s="45"/>
      <c r="I16" s="46"/>
      <c r="J16" s="47"/>
      <c r="K16" s="17"/>
      <c r="L16" s="48"/>
      <c r="M16" s="24"/>
      <c r="N16" s="8"/>
      <c r="O16" s="8"/>
      <c r="P16" s="8"/>
      <c r="Q16" s="8"/>
      <c r="R16" s="8"/>
      <c r="S16" s="8"/>
      <c r="T16" s="8"/>
      <c r="U16" s="8"/>
    </row>
    <row r="17" ht="20.25" customHeight="1">
      <c r="A17" s="9"/>
      <c r="B17" s="41">
        <f t="shared" si="1"/>
        <v>45998</v>
      </c>
      <c r="C17" s="42">
        <f t="shared" si="2"/>
        <v>45998</v>
      </c>
      <c r="D17" s="43" t="str">
        <f t="shared" si="3"/>
        <v>日</v>
      </c>
      <c r="E17" s="44"/>
      <c r="F17" s="44"/>
      <c r="G17" s="44"/>
      <c r="H17" s="45"/>
      <c r="I17" s="49"/>
      <c r="J17" s="47"/>
      <c r="K17" s="17"/>
      <c r="L17" s="48"/>
      <c r="M17" s="8"/>
      <c r="N17" s="51"/>
      <c r="O17" s="8"/>
      <c r="P17" s="8"/>
      <c r="Q17" s="8"/>
      <c r="R17" s="8"/>
      <c r="S17" s="8"/>
      <c r="T17" s="8"/>
      <c r="U17" s="8"/>
    </row>
    <row r="18" ht="20.25" customHeight="1">
      <c r="A18" s="9"/>
      <c r="B18" s="41">
        <f t="shared" si="1"/>
        <v>45999</v>
      </c>
      <c r="C18" s="42">
        <f t="shared" si="2"/>
        <v>45999</v>
      </c>
      <c r="D18" s="43" t="str">
        <f t="shared" si="3"/>
        <v>月</v>
      </c>
      <c r="E18" s="44">
        <v>0.4375</v>
      </c>
      <c r="F18" s="44">
        <v>0.7916666666666666</v>
      </c>
      <c r="G18" s="44">
        <v>0.07291666666666667</v>
      </c>
      <c r="H18" s="45">
        <f t="shared" ref="H18:H22" si="5">IF(OR(E18="",F18=""),0,F18-E18-G18)</f>
        <v>0.28125</v>
      </c>
      <c r="I18" s="52" t="s">
        <v>29</v>
      </c>
      <c r="J18" s="47"/>
      <c r="K18" s="17"/>
      <c r="L18" s="48"/>
      <c r="M18" s="8"/>
      <c r="N18" s="51"/>
      <c r="O18" s="8"/>
      <c r="P18" s="8"/>
      <c r="Q18" s="8"/>
      <c r="R18" s="8"/>
      <c r="S18" s="8"/>
      <c r="T18" s="8"/>
      <c r="U18" s="8"/>
    </row>
    <row r="19" ht="20.25" customHeight="1">
      <c r="A19" s="9"/>
      <c r="B19" s="41">
        <f t="shared" si="1"/>
        <v>46000</v>
      </c>
      <c r="C19" s="42">
        <f t="shared" si="2"/>
        <v>46000</v>
      </c>
      <c r="D19" s="43" t="str">
        <f t="shared" si="3"/>
        <v>火</v>
      </c>
      <c r="E19" s="44">
        <v>0.4375</v>
      </c>
      <c r="F19" s="44">
        <v>0.8125</v>
      </c>
      <c r="G19" s="45">
        <v>0.041666666666666664</v>
      </c>
      <c r="H19" s="45">
        <f t="shared" si="5"/>
        <v>0.3333333333</v>
      </c>
      <c r="I19" s="46" t="s">
        <v>21</v>
      </c>
      <c r="J19" s="47"/>
      <c r="K19" s="17"/>
      <c r="L19" s="48"/>
      <c r="M19" s="8"/>
      <c r="N19" s="51"/>
      <c r="O19" s="8"/>
      <c r="P19" s="8"/>
      <c r="Q19" s="8"/>
      <c r="R19" s="8"/>
      <c r="S19" s="8"/>
      <c r="T19" s="8"/>
      <c r="U19" s="8"/>
    </row>
    <row r="20" ht="20.25" customHeight="1">
      <c r="A20" s="9"/>
      <c r="B20" s="41">
        <f t="shared" si="1"/>
        <v>46001</v>
      </c>
      <c r="C20" s="42">
        <f t="shared" si="2"/>
        <v>46001</v>
      </c>
      <c r="D20" s="43" t="str">
        <f t="shared" si="3"/>
        <v>水</v>
      </c>
      <c r="E20" s="44">
        <v>0.46875</v>
      </c>
      <c r="F20" s="44">
        <v>0.7916666666666666</v>
      </c>
      <c r="G20" s="45">
        <v>0.041666666666666664</v>
      </c>
      <c r="H20" s="45">
        <f t="shared" si="5"/>
        <v>0.28125</v>
      </c>
      <c r="I20" s="49" t="s">
        <v>30</v>
      </c>
      <c r="J20" s="47"/>
      <c r="K20" s="17"/>
      <c r="L20" s="48"/>
      <c r="M20" s="8"/>
      <c r="N20" s="51"/>
      <c r="O20" s="8"/>
      <c r="P20" s="8"/>
      <c r="Q20" s="8"/>
      <c r="R20" s="8"/>
      <c r="S20" s="8"/>
      <c r="T20" s="8"/>
      <c r="U20" s="8"/>
    </row>
    <row r="21" ht="20.25" customHeight="1">
      <c r="A21" s="9"/>
      <c r="B21" s="41">
        <f t="shared" si="1"/>
        <v>46002</v>
      </c>
      <c r="C21" s="42">
        <f t="shared" si="2"/>
        <v>46002</v>
      </c>
      <c r="D21" s="43" t="str">
        <f t="shared" si="3"/>
        <v>木</v>
      </c>
      <c r="E21" s="44">
        <v>0.4583333333333333</v>
      </c>
      <c r="F21" s="44">
        <v>0.875</v>
      </c>
      <c r="G21" s="44">
        <v>0.052083333333333336</v>
      </c>
      <c r="H21" s="45">
        <f t="shared" si="5"/>
        <v>0.3645833333</v>
      </c>
      <c r="I21" s="52" t="s">
        <v>29</v>
      </c>
      <c r="J21" s="47"/>
      <c r="K21" s="17"/>
      <c r="L21" s="48"/>
      <c r="M21" s="8"/>
      <c r="N21" s="51"/>
      <c r="O21" s="8"/>
      <c r="P21" s="8"/>
      <c r="Q21" s="8"/>
      <c r="R21" s="8"/>
      <c r="S21" s="8"/>
      <c r="T21" s="8"/>
      <c r="U21" s="8"/>
    </row>
    <row r="22" ht="20.25" customHeight="1">
      <c r="A22" s="9"/>
      <c r="B22" s="41">
        <f t="shared" si="1"/>
        <v>46003</v>
      </c>
      <c r="C22" s="42">
        <f t="shared" si="2"/>
        <v>46003</v>
      </c>
      <c r="D22" s="43" t="str">
        <f t="shared" si="3"/>
        <v>金</v>
      </c>
      <c r="E22" s="44">
        <v>0.4375</v>
      </c>
      <c r="F22" s="44">
        <v>0.8125</v>
      </c>
      <c r="G22" s="44">
        <v>0.10416666666666667</v>
      </c>
      <c r="H22" s="45">
        <f t="shared" si="5"/>
        <v>0.2708333333</v>
      </c>
      <c r="I22" s="50" t="s">
        <v>27</v>
      </c>
      <c r="J22" s="47"/>
      <c r="K22" s="17"/>
      <c r="L22" s="48"/>
      <c r="M22" s="8"/>
      <c r="N22" s="51"/>
      <c r="O22" s="8"/>
      <c r="P22" s="8"/>
      <c r="Q22" s="8"/>
      <c r="R22" s="8"/>
      <c r="S22" s="8"/>
      <c r="T22" s="8"/>
      <c r="U22" s="8"/>
    </row>
    <row r="23" ht="20.25" customHeight="1">
      <c r="A23" s="9"/>
      <c r="B23" s="41">
        <f t="shared" si="1"/>
        <v>46004</v>
      </c>
      <c r="C23" s="42">
        <f t="shared" si="2"/>
        <v>46004</v>
      </c>
      <c r="D23" s="43" t="str">
        <f t="shared" si="3"/>
        <v>土</v>
      </c>
      <c r="E23" s="44"/>
      <c r="F23" s="44"/>
      <c r="G23" s="45"/>
      <c r="H23" s="45"/>
      <c r="I23" s="46"/>
      <c r="J23" s="47"/>
      <c r="K23" s="17"/>
      <c r="L23" s="48"/>
      <c r="M23" s="8"/>
      <c r="N23" s="51"/>
      <c r="O23" s="8"/>
      <c r="P23" s="8"/>
      <c r="Q23" s="8"/>
      <c r="R23" s="8"/>
      <c r="S23" s="8"/>
      <c r="T23" s="8"/>
      <c r="U23" s="8"/>
    </row>
    <row r="24" ht="20.25" customHeight="1">
      <c r="A24" s="9"/>
      <c r="B24" s="41">
        <f t="shared" si="1"/>
        <v>46005</v>
      </c>
      <c r="C24" s="42">
        <f t="shared" si="2"/>
        <v>46005</v>
      </c>
      <c r="D24" s="43" t="str">
        <f t="shared" si="3"/>
        <v>日</v>
      </c>
      <c r="E24" s="44"/>
      <c r="F24" s="44"/>
      <c r="G24" s="44"/>
      <c r="H24" s="45"/>
      <c r="I24" s="49"/>
      <c r="J24" s="47"/>
      <c r="K24" s="17"/>
      <c r="L24" s="48"/>
      <c r="M24" s="8"/>
      <c r="N24" s="51"/>
      <c r="O24" s="8"/>
      <c r="P24" s="8"/>
      <c r="Q24" s="8"/>
      <c r="R24" s="8"/>
      <c r="S24" s="8"/>
      <c r="T24" s="8"/>
      <c r="U24" s="8"/>
    </row>
    <row r="25" ht="20.25" customHeight="1">
      <c r="A25" s="9"/>
      <c r="B25" s="41">
        <f t="shared" si="1"/>
        <v>46006</v>
      </c>
      <c r="C25" s="42">
        <f t="shared" si="2"/>
        <v>46006</v>
      </c>
      <c r="D25" s="43" t="str">
        <f t="shared" si="3"/>
        <v>月</v>
      </c>
      <c r="E25" s="44">
        <v>0.4583333333333333</v>
      </c>
      <c r="F25" s="44">
        <v>0.8125</v>
      </c>
      <c r="G25" s="44">
        <v>0.09375</v>
      </c>
      <c r="H25" s="45">
        <f t="shared" ref="H25:H29" si="6">IF(OR(E25="",F25=""),0,F25-E25-G25)</f>
        <v>0.2604166667</v>
      </c>
      <c r="I25" s="52" t="s">
        <v>29</v>
      </c>
      <c r="J25" s="47"/>
      <c r="K25" s="17"/>
      <c r="L25" s="48"/>
      <c r="M25" s="8"/>
      <c r="N25" s="51"/>
      <c r="O25" s="8"/>
      <c r="P25" s="8"/>
      <c r="Q25" s="8"/>
      <c r="R25" s="8"/>
      <c r="S25" s="8"/>
      <c r="T25" s="8"/>
      <c r="U25" s="8"/>
    </row>
    <row r="26" ht="20.25" customHeight="1">
      <c r="A26" s="9"/>
      <c r="B26" s="41">
        <f t="shared" si="1"/>
        <v>46007</v>
      </c>
      <c r="C26" s="42">
        <f t="shared" si="2"/>
        <v>46007</v>
      </c>
      <c r="D26" s="43" t="str">
        <f t="shared" si="3"/>
        <v>火</v>
      </c>
      <c r="E26" s="44">
        <v>0.4375</v>
      </c>
      <c r="F26" s="44">
        <v>0.875</v>
      </c>
      <c r="G26" s="45">
        <v>0.041666666666666664</v>
      </c>
      <c r="H26" s="45">
        <f t="shared" si="6"/>
        <v>0.3958333333</v>
      </c>
      <c r="I26" s="46" t="s">
        <v>21</v>
      </c>
      <c r="J26" s="47"/>
      <c r="K26" s="17"/>
      <c r="L26" s="48"/>
      <c r="M26" s="8"/>
      <c r="N26" s="51"/>
      <c r="O26" s="8"/>
      <c r="P26" s="8"/>
      <c r="Q26" s="8"/>
      <c r="R26" s="8"/>
      <c r="S26" s="8"/>
      <c r="T26" s="8"/>
      <c r="U26" s="8"/>
    </row>
    <row r="27" ht="20.25" customHeight="1">
      <c r="A27" s="9"/>
      <c r="B27" s="41">
        <f t="shared" si="1"/>
        <v>46008</v>
      </c>
      <c r="C27" s="42">
        <f t="shared" si="2"/>
        <v>46008</v>
      </c>
      <c r="D27" s="43" t="str">
        <f t="shared" si="3"/>
        <v>水</v>
      </c>
      <c r="E27" s="44">
        <v>0.4583333333333333</v>
      </c>
      <c r="F27" s="44">
        <v>0.8333333333333334</v>
      </c>
      <c r="G27" s="45">
        <v>0.041666666666666664</v>
      </c>
      <c r="H27" s="45">
        <f t="shared" si="6"/>
        <v>0.3333333333</v>
      </c>
      <c r="I27" s="49" t="s">
        <v>24</v>
      </c>
      <c r="J27" s="47"/>
      <c r="K27" s="17"/>
      <c r="L27" s="48"/>
      <c r="M27" s="8"/>
      <c r="N27" s="51"/>
      <c r="O27" s="8"/>
      <c r="P27" s="8"/>
      <c r="Q27" s="8"/>
      <c r="R27" s="8"/>
      <c r="S27" s="8"/>
      <c r="T27" s="8"/>
      <c r="U27" s="8"/>
    </row>
    <row r="28" ht="20.25" customHeight="1">
      <c r="A28" s="9"/>
      <c r="B28" s="41">
        <f t="shared" si="1"/>
        <v>46009</v>
      </c>
      <c r="C28" s="42">
        <f t="shared" si="2"/>
        <v>46009</v>
      </c>
      <c r="D28" s="43" t="str">
        <f t="shared" si="3"/>
        <v>木</v>
      </c>
      <c r="E28" s="44">
        <v>0.4375</v>
      </c>
      <c r="F28" s="44">
        <v>0.8958333333333334</v>
      </c>
      <c r="G28" s="44">
        <v>0.08333333333333333</v>
      </c>
      <c r="H28" s="45">
        <f t="shared" si="6"/>
        <v>0.375</v>
      </c>
      <c r="I28" s="52" t="s">
        <v>29</v>
      </c>
      <c r="J28" s="47"/>
      <c r="K28" s="17"/>
      <c r="L28" s="48"/>
      <c r="M28" s="8"/>
      <c r="N28" s="51"/>
      <c r="O28" s="8"/>
      <c r="P28" s="8"/>
      <c r="Q28" s="8"/>
      <c r="R28" s="8"/>
      <c r="S28" s="8"/>
      <c r="T28" s="8"/>
      <c r="U28" s="8"/>
    </row>
    <row r="29" ht="20.25" customHeight="1">
      <c r="A29" s="9"/>
      <c r="B29" s="41">
        <f t="shared" si="1"/>
        <v>46010</v>
      </c>
      <c r="C29" s="42">
        <f t="shared" si="2"/>
        <v>46010</v>
      </c>
      <c r="D29" s="43" t="str">
        <f t="shared" si="3"/>
        <v>金</v>
      </c>
      <c r="E29" s="44">
        <v>0.4166666666666667</v>
      </c>
      <c r="F29" s="44">
        <v>0.8125</v>
      </c>
      <c r="G29" s="44">
        <v>0.10416666666666667</v>
      </c>
      <c r="H29" s="45">
        <f t="shared" si="6"/>
        <v>0.2916666667</v>
      </c>
      <c r="I29" s="50" t="s">
        <v>27</v>
      </c>
      <c r="J29" s="47"/>
      <c r="K29" s="17"/>
      <c r="L29" s="48"/>
      <c r="M29" s="8"/>
      <c r="N29" s="51"/>
      <c r="O29" s="8"/>
      <c r="P29" s="8"/>
      <c r="Q29" s="8"/>
      <c r="R29" s="8"/>
      <c r="S29" s="8"/>
      <c r="T29" s="8"/>
      <c r="U29" s="8"/>
    </row>
    <row r="30" ht="20.25" customHeight="1">
      <c r="A30" s="9"/>
      <c r="B30" s="41">
        <f t="shared" si="1"/>
        <v>46011</v>
      </c>
      <c r="C30" s="42">
        <f t="shared" si="2"/>
        <v>46011</v>
      </c>
      <c r="D30" s="43" t="str">
        <f t="shared" si="3"/>
        <v>土</v>
      </c>
      <c r="E30" s="44"/>
      <c r="F30" s="44"/>
      <c r="G30" s="45"/>
      <c r="H30" s="45"/>
      <c r="I30" s="46"/>
      <c r="J30" s="47"/>
      <c r="K30" s="17"/>
      <c r="L30" s="48"/>
      <c r="M30" s="8"/>
      <c r="N30" s="51"/>
      <c r="O30" s="8"/>
      <c r="P30" s="8"/>
      <c r="Q30" s="8"/>
      <c r="R30" s="8"/>
      <c r="S30" s="8"/>
      <c r="T30" s="8"/>
      <c r="U30" s="8"/>
    </row>
    <row r="31" ht="20.25" customHeight="1">
      <c r="A31" s="9"/>
      <c r="B31" s="41">
        <f t="shared" si="1"/>
        <v>46012</v>
      </c>
      <c r="C31" s="42">
        <f t="shared" si="2"/>
        <v>46012</v>
      </c>
      <c r="D31" s="43" t="str">
        <f t="shared" si="3"/>
        <v>日</v>
      </c>
      <c r="E31" s="44"/>
      <c r="F31" s="44"/>
      <c r="G31" s="44"/>
      <c r="H31" s="45"/>
      <c r="I31" s="49"/>
      <c r="J31" s="47"/>
      <c r="K31" s="17"/>
      <c r="L31" s="48"/>
      <c r="M31" s="8"/>
      <c r="N31" s="51"/>
      <c r="O31" s="8"/>
      <c r="P31" s="8"/>
      <c r="Q31" s="8"/>
      <c r="R31" s="8"/>
      <c r="S31" s="8"/>
      <c r="T31" s="8"/>
      <c r="U31" s="8"/>
    </row>
    <row r="32" ht="20.25" customHeight="1">
      <c r="A32" s="9"/>
      <c r="B32" s="41">
        <f t="shared" si="1"/>
        <v>46013</v>
      </c>
      <c r="C32" s="42">
        <f t="shared" si="2"/>
        <v>46013</v>
      </c>
      <c r="D32" s="43" t="str">
        <f t="shared" si="3"/>
        <v>月</v>
      </c>
      <c r="E32" s="44">
        <v>0.4583333333333333</v>
      </c>
      <c r="F32" s="44">
        <v>0.9166666666666666</v>
      </c>
      <c r="G32" s="44">
        <v>0.11458333333333333</v>
      </c>
      <c r="H32" s="45">
        <f t="shared" ref="H32:H36" si="7">IF(OR(E32="",F32=""),0,F32-E32-G32)</f>
        <v>0.34375</v>
      </c>
      <c r="I32" s="52" t="s">
        <v>29</v>
      </c>
      <c r="J32" s="47"/>
      <c r="K32" s="17"/>
      <c r="L32" s="48"/>
      <c r="M32" s="8"/>
      <c r="N32" s="51"/>
      <c r="O32" s="8"/>
      <c r="P32" s="8"/>
      <c r="Q32" s="8"/>
      <c r="R32" s="8"/>
      <c r="S32" s="8"/>
      <c r="T32" s="8"/>
      <c r="U32" s="8"/>
    </row>
    <row r="33" ht="20.25" customHeight="1">
      <c r="A33" s="9"/>
      <c r="B33" s="41">
        <f t="shared" si="1"/>
        <v>46014</v>
      </c>
      <c r="C33" s="42">
        <f t="shared" si="2"/>
        <v>46014</v>
      </c>
      <c r="D33" s="43" t="str">
        <f t="shared" si="3"/>
        <v>火</v>
      </c>
      <c r="E33" s="44">
        <v>0.4583333333333333</v>
      </c>
      <c r="F33" s="44">
        <v>0.7916666666666666</v>
      </c>
      <c r="G33" s="44">
        <v>0.08333333333333333</v>
      </c>
      <c r="H33" s="45">
        <f t="shared" si="7"/>
        <v>0.25</v>
      </c>
      <c r="I33" s="52" t="s">
        <v>29</v>
      </c>
      <c r="J33" s="47"/>
      <c r="K33" s="17"/>
      <c r="L33" s="48"/>
      <c r="M33" s="8"/>
      <c r="N33" s="51"/>
      <c r="O33" s="8"/>
      <c r="P33" s="8"/>
      <c r="Q33" s="8"/>
      <c r="R33" s="8"/>
      <c r="S33" s="8"/>
      <c r="T33" s="8"/>
      <c r="U33" s="8"/>
    </row>
    <row r="34" ht="20.25" customHeight="1">
      <c r="A34" s="9"/>
      <c r="B34" s="41">
        <f t="shared" si="1"/>
        <v>46015</v>
      </c>
      <c r="C34" s="42">
        <f t="shared" si="2"/>
        <v>46015</v>
      </c>
      <c r="D34" s="43" t="str">
        <f t="shared" si="3"/>
        <v>水</v>
      </c>
      <c r="E34" s="44">
        <v>0.5833333333333334</v>
      </c>
      <c r="F34" s="44">
        <v>0.7916666666666666</v>
      </c>
      <c r="G34" s="44">
        <v>0.0</v>
      </c>
      <c r="H34" s="45">
        <f t="shared" si="7"/>
        <v>0.2083333333</v>
      </c>
      <c r="I34" s="49" t="s">
        <v>24</v>
      </c>
      <c r="J34" s="47"/>
      <c r="K34" s="17"/>
      <c r="L34" s="48"/>
      <c r="M34" s="8"/>
      <c r="N34" s="51"/>
      <c r="O34" s="8"/>
      <c r="P34" s="8"/>
      <c r="Q34" s="8"/>
      <c r="R34" s="8"/>
      <c r="S34" s="8"/>
      <c r="T34" s="8"/>
      <c r="U34" s="8"/>
    </row>
    <row r="35" ht="20.25" customHeight="1">
      <c r="A35" s="9"/>
      <c r="B35" s="41">
        <f t="shared" si="1"/>
        <v>46016</v>
      </c>
      <c r="C35" s="42">
        <f t="shared" si="2"/>
        <v>46016</v>
      </c>
      <c r="D35" s="43" t="str">
        <f t="shared" si="3"/>
        <v>木</v>
      </c>
      <c r="E35" s="44">
        <v>0.4583333333333333</v>
      </c>
      <c r="F35" s="44">
        <v>0.7916666666666666</v>
      </c>
      <c r="G35" s="45">
        <v>0.041666666666666664</v>
      </c>
      <c r="H35" s="45">
        <f t="shared" si="7"/>
        <v>0.2916666667</v>
      </c>
      <c r="I35" s="46" t="s">
        <v>21</v>
      </c>
      <c r="J35" s="47"/>
      <c r="K35" s="17"/>
      <c r="L35" s="48"/>
      <c r="M35" s="8"/>
      <c r="N35" s="51"/>
      <c r="O35" s="8"/>
      <c r="P35" s="8"/>
      <c r="Q35" s="8"/>
      <c r="R35" s="8"/>
      <c r="S35" s="8"/>
      <c r="T35" s="8"/>
      <c r="U35" s="8"/>
    </row>
    <row r="36" ht="20.25" customHeight="1">
      <c r="A36" s="9"/>
      <c r="B36" s="41">
        <f t="shared" si="1"/>
        <v>46017</v>
      </c>
      <c r="C36" s="42">
        <f t="shared" si="2"/>
        <v>46017</v>
      </c>
      <c r="D36" s="43" t="str">
        <f t="shared" si="3"/>
        <v>金</v>
      </c>
      <c r="E36" s="44">
        <v>0.4375</v>
      </c>
      <c r="F36" s="44">
        <v>0.75</v>
      </c>
      <c r="G36" s="44">
        <v>0.125</v>
      </c>
      <c r="H36" s="45">
        <f t="shared" si="7"/>
        <v>0.1875</v>
      </c>
      <c r="I36" s="50" t="s">
        <v>27</v>
      </c>
      <c r="J36" s="47"/>
      <c r="K36" s="17"/>
      <c r="L36" s="48"/>
      <c r="M36" s="8"/>
      <c r="N36" s="51"/>
      <c r="O36" s="8"/>
      <c r="P36" s="8"/>
      <c r="Q36" s="8"/>
      <c r="R36" s="8"/>
      <c r="S36" s="8"/>
      <c r="T36" s="8"/>
      <c r="U36" s="8"/>
    </row>
    <row r="37" ht="20.25" customHeight="1">
      <c r="A37" s="9"/>
      <c r="B37" s="41">
        <f t="shared" si="1"/>
        <v>46018</v>
      </c>
      <c r="C37" s="42">
        <f t="shared" si="2"/>
        <v>46018</v>
      </c>
      <c r="D37" s="43" t="str">
        <f t="shared" si="3"/>
        <v>土</v>
      </c>
      <c r="E37" s="44"/>
      <c r="F37" s="44"/>
      <c r="G37" s="45"/>
      <c r="H37" s="45"/>
      <c r="I37" s="46"/>
      <c r="J37" s="47"/>
      <c r="K37" s="17"/>
      <c r="L37" s="48"/>
      <c r="M37" s="8"/>
      <c r="N37" s="51"/>
      <c r="O37" s="8"/>
      <c r="P37" s="8"/>
      <c r="Q37" s="8"/>
      <c r="R37" s="8"/>
      <c r="S37" s="8"/>
      <c r="T37" s="8"/>
      <c r="U37" s="8"/>
    </row>
    <row r="38" ht="20.25" customHeight="1">
      <c r="A38" s="9"/>
      <c r="B38" s="41">
        <f t="shared" si="1"/>
        <v>46019</v>
      </c>
      <c r="C38" s="42">
        <f t="shared" si="2"/>
        <v>46019</v>
      </c>
      <c r="D38" s="43" t="str">
        <f t="shared" si="3"/>
        <v>日</v>
      </c>
      <c r="E38" s="44"/>
      <c r="F38" s="44"/>
      <c r="G38" s="44"/>
      <c r="H38" s="45"/>
      <c r="I38" s="49"/>
      <c r="J38" s="47"/>
      <c r="K38" s="17"/>
      <c r="L38" s="48"/>
      <c r="M38" s="8"/>
      <c r="N38" s="51"/>
      <c r="O38" s="8"/>
      <c r="P38" s="8"/>
      <c r="Q38" s="8"/>
      <c r="R38" s="8"/>
      <c r="S38" s="8"/>
      <c r="T38" s="8"/>
      <c r="U38" s="8"/>
    </row>
    <row r="39" ht="20.25" customHeight="1">
      <c r="A39" s="9"/>
      <c r="B39" s="41">
        <f t="shared" si="1"/>
        <v>46020</v>
      </c>
      <c r="C39" s="42">
        <f t="shared" si="2"/>
        <v>46020</v>
      </c>
      <c r="D39" s="43" t="str">
        <f t="shared" si="3"/>
        <v>月</v>
      </c>
      <c r="E39" s="44"/>
      <c r="F39" s="44"/>
      <c r="G39" s="45"/>
      <c r="H39" s="45"/>
      <c r="I39" s="49" t="s">
        <v>31</v>
      </c>
      <c r="J39" s="47"/>
      <c r="K39" s="17"/>
      <c r="L39" s="48"/>
      <c r="M39" s="8"/>
      <c r="N39" s="51"/>
      <c r="O39" s="8"/>
      <c r="P39" s="8"/>
      <c r="Q39" s="8"/>
      <c r="R39" s="8"/>
      <c r="S39" s="8"/>
      <c r="T39" s="8"/>
      <c r="U39" s="8"/>
    </row>
    <row r="40" ht="20.25" customHeight="1">
      <c r="A40" s="9"/>
      <c r="B40" s="41">
        <f t="shared" si="1"/>
        <v>46021</v>
      </c>
      <c r="C40" s="42">
        <f t="shared" si="2"/>
        <v>46021</v>
      </c>
      <c r="D40" s="43" t="str">
        <f t="shared" si="3"/>
        <v>火</v>
      </c>
      <c r="E40" s="44"/>
      <c r="F40" s="44"/>
      <c r="G40" s="45"/>
      <c r="H40" s="45"/>
      <c r="I40" s="49" t="s">
        <v>31</v>
      </c>
      <c r="J40" s="47"/>
      <c r="K40" s="17"/>
      <c r="L40" s="48"/>
      <c r="M40" s="8"/>
      <c r="N40" s="51"/>
      <c r="O40" s="8"/>
      <c r="P40" s="8"/>
      <c r="Q40" s="8"/>
      <c r="R40" s="8"/>
      <c r="S40" s="8"/>
      <c r="T40" s="8"/>
      <c r="U40" s="8"/>
    </row>
    <row r="41" ht="20.25" customHeight="1">
      <c r="A41" s="9"/>
      <c r="B41" s="53">
        <f t="shared" si="1"/>
        <v>46022</v>
      </c>
      <c r="C41" s="54">
        <f t="shared" si="2"/>
        <v>46022</v>
      </c>
      <c r="D41" s="43" t="str">
        <f t="shared" si="3"/>
        <v>水</v>
      </c>
      <c r="E41" s="44"/>
      <c r="F41" s="44"/>
      <c r="G41" s="44"/>
      <c r="H41" s="45"/>
      <c r="I41" s="49" t="s">
        <v>32</v>
      </c>
      <c r="J41" s="47"/>
      <c r="K41" s="17"/>
      <c r="L41" s="48"/>
      <c r="M41" s="8"/>
      <c r="N41" s="51"/>
      <c r="O41" s="8"/>
      <c r="P41" s="8"/>
      <c r="Q41" s="8"/>
      <c r="R41" s="8"/>
      <c r="S41" s="8"/>
      <c r="T41" s="8"/>
      <c r="U41" s="8"/>
    </row>
    <row r="42" ht="20.25" customHeight="1">
      <c r="A42" s="9"/>
      <c r="B42" s="55" t="s">
        <v>33</v>
      </c>
      <c r="C42" s="47"/>
      <c r="D42" s="17"/>
      <c r="E42" s="56">
        <f>COUNTA(E11:E41)</f>
        <v>20</v>
      </c>
      <c r="F42" s="57" t="s">
        <v>34</v>
      </c>
      <c r="G42" s="17"/>
      <c r="H42" s="58">
        <f>SUM(H11:H41)</f>
        <v>6.03125</v>
      </c>
      <c r="I42" s="59"/>
      <c r="J42" s="60"/>
      <c r="K42" s="60"/>
      <c r="L42" s="9"/>
      <c r="M42" s="8"/>
      <c r="N42" s="51"/>
      <c r="O42" s="8"/>
      <c r="P42" s="8"/>
      <c r="Q42" s="8"/>
      <c r="R42" s="8"/>
      <c r="S42" s="8"/>
      <c r="T42" s="8"/>
      <c r="U42" s="8"/>
    </row>
    <row r="43" ht="9.75" customHeight="1">
      <c r="A43" s="9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9"/>
      <c r="M43" s="11"/>
      <c r="N43" s="61"/>
      <c r="O43" s="11"/>
      <c r="P43" s="11"/>
      <c r="Q43" s="11"/>
      <c r="R43" s="11"/>
      <c r="S43" s="11"/>
      <c r="T43" s="11"/>
      <c r="U43" s="11"/>
    </row>
    <row r="44" ht="20.25" customHeight="1">
      <c r="A44" s="9"/>
      <c r="B44" s="62" t="s">
        <v>35</v>
      </c>
      <c r="C44" s="63"/>
      <c r="D44" s="63"/>
      <c r="E44" s="63"/>
      <c r="F44" s="63"/>
      <c r="G44" s="63"/>
      <c r="H44" s="63"/>
      <c r="I44" s="63"/>
      <c r="J44" s="63"/>
      <c r="K44" s="63"/>
      <c r="L44" s="9"/>
      <c r="M44" s="8"/>
      <c r="N44" s="51"/>
      <c r="O44" s="8"/>
      <c r="P44" s="8"/>
      <c r="Q44" s="8"/>
      <c r="R44" s="8"/>
      <c r="S44" s="8"/>
      <c r="T44" s="8"/>
      <c r="U44" s="8"/>
    </row>
    <row r="45" ht="20.25" customHeight="1">
      <c r="A45" s="9"/>
      <c r="B45" s="64" t="s">
        <v>36</v>
      </c>
      <c r="C45" s="40"/>
      <c r="D45" s="40"/>
      <c r="E45" s="40"/>
      <c r="F45" s="40"/>
      <c r="G45" s="40"/>
      <c r="H45" s="40"/>
      <c r="I45" s="40"/>
      <c r="J45" s="40"/>
      <c r="K45" s="23"/>
      <c r="L45" s="9"/>
      <c r="M45" s="8"/>
      <c r="N45" s="51"/>
      <c r="O45" s="8"/>
      <c r="P45" s="8"/>
      <c r="Q45" s="8"/>
      <c r="R45" s="8"/>
      <c r="S45" s="8"/>
      <c r="T45" s="8"/>
      <c r="U45" s="8"/>
    </row>
    <row r="46" ht="20.25" customHeight="1">
      <c r="A46" s="9"/>
      <c r="B46" s="65"/>
      <c r="K46" s="20"/>
      <c r="L46" s="9"/>
      <c r="M46" s="8"/>
      <c r="N46" s="51"/>
      <c r="O46" s="8"/>
      <c r="P46" s="8"/>
      <c r="Q46" s="8"/>
      <c r="R46" s="8"/>
      <c r="S46" s="8"/>
      <c r="T46" s="8"/>
      <c r="U46" s="8"/>
    </row>
    <row r="47" ht="20.25" customHeight="1">
      <c r="A47" s="9"/>
      <c r="B47" s="65"/>
      <c r="K47" s="20"/>
      <c r="L47" s="9"/>
      <c r="M47" s="8"/>
      <c r="N47" s="51"/>
      <c r="O47" s="8"/>
      <c r="P47" s="8"/>
      <c r="Q47" s="8"/>
      <c r="R47" s="8"/>
      <c r="S47" s="8"/>
      <c r="T47" s="8"/>
      <c r="U47" s="8"/>
    </row>
    <row r="48" ht="20.25" customHeight="1">
      <c r="A48" s="9"/>
      <c r="B48" s="26"/>
      <c r="C48" s="63"/>
      <c r="D48" s="63"/>
      <c r="E48" s="63"/>
      <c r="F48" s="63"/>
      <c r="G48" s="63"/>
      <c r="H48" s="63"/>
      <c r="I48" s="63"/>
      <c r="J48" s="63"/>
      <c r="K48" s="27"/>
      <c r="L48" s="9"/>
      <c r="M48" s="8"/>
      <c r="N48" s="51"/>
      <c r="O48" s="8"/>
      <c r="P48" s="8"/>
      <c r="Q48" s="8"/>
      <c r="R48" s="8"/>
      <c r="S48" s="8"/>
      <c r="T48" s="8"/>
      <c r="U48" s="8"/>
    </row>
    <row r="49" ht="9.75" customHeight="1">
      <c r="A49" s="9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9"/>
      <c r="M49" s="11"/>
      <c r="N49" s="51"/>
      <c r="O49" s="8"/>
      <c r="P49" s="8"/>
      <c r="Q49" s="8"/>
      <c r="R49" s="8"/>
      <c r="S49" s="8"/>
      <c r="T49" s="8"/>
      <c r="U49" s="8"/>
    </row>
    <row r="50" ht="20.25" customHeight="1">
      <c r="A50" s="9"/>
      <c r="B50" s="34"/>
      <c r="C50" s="34"/>
      <c r="D50" s="34"/>
      <c r="E50" s="34"/>
      <c r="F50" s="34"/>
      <c r="G50" s="34"/>
      <c r="H50" s="34"/>
      <c r="I50" s="34"/>
      <c r="J50" s="34"/>
      <c r="K50" s="66" t="s">
        <v>37</v>
      </c>
      <c r="L50" s="9"/>
      <c r="M50" s="11"/>
      <c r="N50" s="51"/>
      <c r="O50" s="8"/>
      <c r="P50" s="8"/>
      <c r="Q50" s="8"/>
      <c r="R50" s="8"/>
      <c r="S50" s="8"/>
      <c r="T50" s="8"/>
      <c r="U50" s="8"/>
    </row>
    <row r="51" ht="20.25" customHeight="1">
      <c r="A51" s="9"/>
      <c r="B51" s="34"/>
      <c r="C51" s="34"/>
      <c r="D51" s="34"/>
      <c r="E51" s="34"/>
      <c r="F51" s="34"/>
      <c r="G51" s="34"/>
      <c r="H51" s="34"/>
      <c r="I51" s="34"/>
      <c r="J51" s="34"/>
      <c r="K51" s="67"/>
      <c r="L51" s="9"/>
      <c r="M51" s="10" t="s">
        <v>38</v>
      </c>
      <c r="N51" s="68"/>
      <c r="O51" s="68"/>
      <c r="P51" s="68"/>
      <c r="Q51" s="68"/>
      <c r="R51" s="68"/>
      <c r="S51" s="68"/>
      <c r="T51" s="68"/>
      <c r="U51" s="8"/>
    </row>
    <row r="52" ht="20.25" customHeight="1">
      <c r="A52" s="9"/>
      <c r="B52" s="34"/>
      <c r="C52" s="34"/>
      <c r="D52" s="34"/>
      <c r="E52" s="34"/>
      <c r="F52" s="34"/>
      <c r="G52" s="34"/>
      <c r="H52" s="34"/>
      <c r="I52" s="34"/>
      <c r="J52" s="34"/>
      <c r="K52" s="25"/>
      <c r="L52" s="9"/>
      <c r="M52" s="68"/>
      <c r="N52" s="68"/>
      <c r="O52" s="68"/>
      <c r="P52" s="68"/>
      <c r="Q52" s="68"/>
      <c r="R52" s="68"/>
      <c r="S52" s="68"/>
      <c r="T52" s="68"/>
      <c r="U52" s="8"/>
    </row>
    <row r="53" ht="9.75" customHeight="1">
      <c r="A53" s="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9"/>
      <c r="M53" s="8"/>
      <c r="N53" s="51"/>
      <c r="O53" s="8"/>
      <c r="P53" s="8"/>
      <c r="Q53" s="8"/>
      <c r="R53" s="8"/>
      <c r="S53" s="8"/>
      <c r="T53" s="8"/>
      <c r="U53" s="8"/>
    </row>
  </sheetData>
  <mergeCells count="48">
    <mergeCell ref="B3:H6"/>
    <mergeCell ref="B7:C7"/>
    <mergeCell ref="D7:H7"/>
    <mergeCell ref="A1:L1"/>
    <mergeCell ref="J3:K3"/>
    <mergeCell ref="I4:I5"/>
    <mergeCell ref="J4:K5"/>
    <mergeCell ref="I6:I7"/>
    <mergeCell ref="J6:J7"/>
    <mergeCell ref="K6:K7"/>
    <mergeCell ref="B9:K9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B44:K44"/>
    <mergeCell ref="B45:K48"/>
    <mergeCell ref="K51:K52"/>
    <mergeCell ref="I37:K37"/>
    <mergeCell ref="I38:K38"/>
    <mergeCell ref="I39:K39"/>
    <mergeCell ref="I40:K40"/>
    <mergeCell ref="I41:K41"/>
    <mergeCell ref="B42:D42"/>
    <mergeCell ref="F42:G42"/>
  </mergeCells>
  <conditionalFormatting sqref="B11:F41">
    <cfRule type="expression" dxfId="0" priority="1" stopIfTrue="1">
      <formula>$D11="日"</formula>
    </cfRule>
  </conditionalFormatting>
  <conditionalFormatting sqref="B11:F41">
    <cfRule type="expression" dxfId="1" priority="2" stopIfTrue="1">
      <formula>$D11="土"</formula>
    </cfRule>
  </conditionalFormatting>
  <conditionalFormatting sqref="E11:E41 F16 F18:F19 F23:F24 F30:F31 F35 F37:F38">
    <cfRule type="expression" dxfId="0" priority="3" stopIfTrue="1">
      <formula>$D11="日"</formula>
    </cfRule>
  </conditionalFormatting>
  <conditionalFormatting sqref="E11:E41 F16 F18:F19 F23:F24 F30:F31 F35 F37:F38">
    <cfRule type="expression" dxfId="1" priority="4" stopIfTrue="1">
      <formula>$D11="土"</formula>
    </cfRule>
  </conditionalFormatting>
  <conditionalFormatting sqref="E11:E41 F16 F18:F19 F23:F24 F30:F31 F35 F37:F38">
    <cfRule type="expression" dxfId="0" priority="5" stopIfTrue="1">
      <formula>$D11="日"</formula>
    </cfRule>
  </conditionalFormatting>
  <conditionalFormatting sqref="E11:E41 F16 F18:F19 F23:F24 F30:F31 F35 F37:F38">
    <cfRule type="expression" dxfId="1" priority="6" stopIfTrue="1">
      <formula>$D11="土"</formula>
    </cfRule>
  </conditionalFormatting>
  <conditionalFormatting sqref="E11:E41 F16 F18:F19 F23:F24 F30:F31 F35 F37:F38">
    <cfRule type="expression" dxfId="0" priority="7" stopIfTrue="1">
      <formula>$D11="日"</formula>
    </cfRule>
  </conditionalFormatting>
  <conditionalFormatting sqref="E11:E41 F16 F18:F19 F23:F24 F30:F31 F35 F37:F38">
    <cfRule type="expression" dxfId="1" priority="8" stopIfTrue="1">
      <formula>$D11="土"</formula>
    </cfRule>
  </conditionalFormatting>
  <conditionalFormatting sqref="E11:E41 F16 F18:F19 F23:F24 F30:F31 F35 F37:F38">
    <cfRule type="expression" dxfId="0" priority="9" stopIfTrue="1">
      <formula>$D11="日"</formula>
    </cfRule>
  </conditionalFormatting>
  <conditionalFormatting sqref="E11:E41 F16 F18:F19 F23:F24 F30:F31 F35 F37:F38">
    <cfRule type="expression" dxfId="1" priority="10" stopIfTrue="1">
      <formula>$D11="土"</formula>
    </cfRule>
  </conditionalFormatting>
  <conditionalFormatting sqref="E11:E41 F16 F18:F19 F23:F24 F30:F31 F35 F37:F38">
    <cfRule type="expression" dxfId="0" priority="11" stopIfTrue="1">
      <formula>$D11="日"</formula>
    </cfRule>
  </conditionalFormatting>
  <conditionalFormatting sqref="E11:E41 F16 F18:F19 F23:F24 F30:F31 F35 F37:F38">
    <cfRule type="expression" dxfId="1" priority="12" stopIfTrue="1">
      <formula>$D11="土"</formula>
    </cfRule>
  </conditionalFormatting>
  <conditionalFormatting sqref="E11:E41 F16 F18:F19 F23:F24 F30:F31 F35 F37:F38">
    <cfRule type="expression" dxfId="0" priority="13" stopIfTrue="1">
      <formula>$D11="日"</formula>
    </cfRule>
  </conditionalFormatting>
  <conditionalFormatting sqref="E11:E41 F16 F18:F19 F23:F24 F30:F31 F35 F37:F38">
    <cfRule type="expression" dxfId="1" priority="14" stopIfTrue="1">
      <formula>$D11="土"</formula>
    </cfRule>
  </conditionalFormatting>
  <conditionalFormatting sqref="E11:E41 F16 F18:F19 F23:F24 F30:F31 F35 F37:F38">
    <cfRule type="expression" dxfId="0" priority="15" stopIfTrue="1">
      <formula>$D11="日"</formula>
    </cfRule>
  </conditionalFormatting>
  <conditionalFormatting sqref="E11:E41 F16 F18:F19 F23:F24 F30:F31 F35 F37:F38">
    <cfRule type="expression" dxfId="1" priority="16" stopIfTrue="1">
      <formula>$D11="土"</formula>
    </cfRule>
  </conditionalFormatting>
  <conditionalFormatting sqref="E11:E41 F16 F18:F19 F23:F24 F30:F31 F35 F37:F38">
    <cfRule type="expression" dxfId="0" priority="17" stopIfTrue="1">
      <formula>$D11="日"</formula>
    </cfRule>
  </conditionalFormatting>
  <conditionalFormatting sqref="E11:E41 F16 F18:F19 F23:F24 F30:F31 F35 F37:F38">
    <cfRule type="expression" dxfId="1" priority="18" stopIfTrue="1">
      <formula>$D11="土"</formula>
    </cfRule>
  </conditionalFormatting>
  <conditionalFormatting sqref="E11:E41 F16 F18:F19 F23:F24 F30:F31 F35 F37:F38">
    <cfRule type="expression" dxfId="0" priority="19" stopIfTrue="1">
      <formula>$D11="日"</formula>
    </cfRule>
  </conditionalFormatting>
  <conditionalFormatting sqref="E11:E41 F16 F18:F19 F23:F24 F30:F31 F35 F37:F38">
    <cfRule type="expression" dxfId="1" priority="20" stopIfTrue="1">
      <formula>$D11="土"</formula>
    </cfRule>
  </conditionalFormatting>
  <conditionalFormatting sqref="E11:E41 F16 F18:F19 F23:F24 F30:F31 F35 F37:F38">
    <cfRule type="expression" dxfId="0" priority="21" stopIfTrue="1">
      <formula>$D11="日"</formula>
    </cfRule>
  </conditionalFormatting>
  <conditionalFormatting sqref="E11:E41 F16 F18:F19 F23:F24 F30:F31 F35 F37:F38">
    <cfRule type="expression" dxfId="1" priority="22" stopIfTrue="1">
      <formula>$D11="土"</formula>
    </cfRule>
  </conditionalFormatting>
  <conditionalFormatting sqref="E11:E41 F16 F18:F19 F23:F24 F30:F31 F35 F37:F38">
    <cfRule type="expression" dxfId="0" priority="23" stopIfTrue="1">
      <formula>$D11="日"</formula>
    </cfRule>
  </conditionalFormatting>
  <conditionalFormatting sqref="E11:E41 F16 F18:F19 F23:F24 F30:F31 F35 F37:F38">
    <cfRule type="expression" dxfId="1" priority="24" stopIfTrue="1">
      <formula>$D11="土"</formula>
    </cfRule>
  </conditionalFormatting>
  <conditionalFormatting sqref="E11:E41 F16 F18:F19 F23:F24 F30:F31 F35 F37:F38">
    <cfRule type="expression" dxfId="0" priority="25" stopIfTrue="1">
      <formula>$D11="日"</formula>
    </cfRule>
  </conditionalFormatting>
  <conditionalFormatting sqref="E11:E41 F16 F18:F19 F23:F24 F30:F31 F35 F37:F38">
    <cfRule type="expression" dxfId="1" priority="26" stopIfTrue="1">
      <formula>$D11="土"</formula>
    </cfRule>
  </conditionalFormatting>
  <conditionalFormatting sqref="E11:E41 F16 F18:F19 F23:F24 F30:F31 F35 F37:F38">
    <cfRule type="expression" dxfId="0" priority="27" stopIfTrue="1">
      <formula>$D11="日"</formula>
    </cfRule>
  </conditionalFormatting>
  <conditionalFormatting sqref="E11:E41 F16 F18:F19 F23:F24 F30:F31 F35 F37:F38">
    <cfRule type="expression" dxfId="1" priority="28" stopIfTrue="1">
      <formula>$D11="土"</formula>
    </cfRule>
  </conditionalFormatting>
  <conditionalFormatting sqref="E11:E41 F16 F18:F19 F23:F24 F30:F31 F35 F37:F38">
    <cfRule type="expression" dxfId="0" priority="29" stopIfTrue="1">
      <formula>$D11="日"</formula>
    </cfRule>
  </conditionalFormatting>
  <conditionalFormatting sqref="E11:E41 F16 F18:F19 F23:F24 F30:F31 F35 F37:F38">
    <cfRule type="expression" dxfId="1" priority="30" stopIfTrue="1">
      <formula>$D11="土"</formula>
    </cfRule>
  </conditionalFormatting>
  <conditionalFormatting sqref="E11:E41 F16 F18:F19 F23:F24 F30:F31 F35 F37:F38">
    <cfRule type="expression" dxfId="0" priority="31" stopIfTrue="1">
      <formula>$D11="日"</formula>
    </cfRule>
  </conditionalFormatting>
  <conditionalFormatting sqref="E11:E41 F16 F18:F19 F23:F24 F30:F31 F35 F37:F38">
    <cfRule type="expression" dxfId="1" priority="32" stopIfTrue="1">
      <formula>$D11="土"</formula>
    </cfRule>
  </conditionalFormatting>
  <conditionalFormatting sqref="E11:E41 F16 F18:F19 F23:F24 F30:F31 F35 F37:F38">
    <cfRule type="expression" dxfId="0" priority="33" stopIfTrue="1">
      <formula>$D11="日"</formula>
    </cfRule>
  </conditionalFormatting>
  <conditionalFormatting sqref="E11:E41 F16 F18:F19 F23:F24 F30:F31 F35 F37:F38">
    <cfRule type="expression" dxfId="1" priority="34" stopIfTrue="1">
      <formula>$D11="土"</formula>
    </cfRule>
  </conditionalFormatting>
  <conditionalFormatting sqref="E11:E41 F16 F18:F19 F23:F24 F30:F31 F35 F37:F38">
    <cfRule type="expression" dxfId="0" priority="35" stopIfTrue="1">
      <formula>$D11="日"</formula>
    </cfRule>
  </conditionalFormatting>
  <conditionalFormatting sqref="E11:E41 F16 F18:F19 F23:F24 F30:F31 F35 F37:F38">
    <cfRule type="expression" dxfId="1" priority="36" stopIfTrue="1">
      <formula>$D11="土"</formula>
    </cfRule>
  </conditionalFormatting>
  <conditionalFormatting sqref="E11:E41 F16 F18:F19 F23:F24 F30:F31 F35 F37:F38">
    <cfRule type="expression" dxfId="0" priority="37" stopIfTrue="1">
      <formula>$D11="日"</formula>
    </cfRule>
  </conditionalFormatting>
  <conditionalFormatting sqref="E11:E41 F16 F18:F19 F23:F24 F30:F31 F35 F37:F38">
    <cfRule type="expression" dxfId="1" priority="38" stopIfTrue="1">
      <formula>$D11="土"</formula>
    </cfRule>
  </conditionalFormatting>
  <conditionalFormatting sqref="E11:E41 F16 F18:F19 F23:F24 F30:F31 F35 F37:F38">
    <cfRule type="expression" dxfId="0" priority="39" stopIfTrue="1">
      <formula>$D11="日"</formula>
    </cfRule>
  </conditionalFormatting>
  <conditionalFormatting sqref="E11:E41 F16 F18:F19 F23:F24 F30:F31 F35 F37:F38">
    <cfRule type="expression" dxfId="1" priority="40" stopIfTrue="1">
      <formula>$D11="土"</formula>
    </cfRule>
  </conditionalFormatting>
  <conditionalFormatting sqref="E11:E41 F16 F18:F19 F23:F24 F30:F31 F35 F37:F38">
    <cfRule type="expression" dxfId="0" priority="41" stopIfTrue="1">
      <formula>$D11="日"</formula>
    </cfRule>
  </conditionalFormatting>
  <conditionalFormatting sqref="E11:E41 F16 F18:F19 F23:F24 F30:F31 F35 F37:F38">
    <cfRule type="expression" dxfId="1" priority="42" stopIfTrue="1">
      <formula>$D11="土"</formula>
    </cfRule>
  </conditionalFormatting>
  <conditionalFormatting sqref="E11:E41 F16 F18:F19 F23:F24 F30:F31 F35 F37:F38">
    <cfRule type="expression" dxfId="0" priority="43" stopIfTrue="1">
      <formula>$D11="日"</formula>
    </cfRule>
  </conditionalFormatting>
  <conditionalFormatting sqref="E11:E41 F16 F18:F19 F23:F24 F30:F31 F35 F37:F38">
    <cfRule type="expression" dxfId="1" priority="44" stopIfTrue="1">
      <formula>$D11="土"</formula>
    </cfRule>
  </conditionalFormatting>
  <conditionalFormatting sqref="E11:E41 F16 F18:F19 F23:F24 F30:F31 F35 F37:F38">
    <cfRule type="expression" dxfId="0" priority="45" stopIfTrue="1">
      <formula>$D11="日"</formula>
    </cfRule>
  </conditionalFormatting>
  <conditionalFormatting sqref="E11:E41 F16 F18:F19 F23:F24 F30:F31 F35 F37:F38">
    <cfRule type="expression" dxfId="1" priority="46" stopIfTrue="1">
      <formula>$D11="土"</formula>
    </cfRule>
  </conditionalFormatting>
  <conditionalFormatting sqref="E11:E41 F16 F18:F19 F23:F24 F30:F31 F35 F37:F38">
    <cfRule type="expression" dxfId="0" priority="47" stopIfTrue="1">
      <formula>$D11="日"</formula>
    </cfRule>
  </conditionalFormatting>
  <conditionalFormatting sqref="E11:E41 F16 F18:F19 F23:F24 F30:F31 F35 F37:F38">
    <cfRule type="expression" dxfId="1" priority="48" stopIfTrue="1">
      <formula>$D11="土"</formula>
    </cfRule>
  </conditionalFormatting>
  <conditionalFormatting sqref="E11:E41 F16 F18:F19 F23:F24 F30:F31 F35 F37:F38">
    <cfRule type="expression" dxfId="0" priority="49" stopIfTrue="1">
      <formula>$D11="日"</formula>
    </cfRule>
  </conditionalFormatting>
  <conditionalFormatting sqref="E11:E41 F16 F18:F19 F23:F24 F30:F31 F35 F37:F38">
    <cfRule type="expression" dxfId="1" priority="50" stopIfTrue="1">
      <formula>$D11="土"</formula>
    </cfRule>
  </conditionalFormatting>
  <conditionalFormatting sqref="E11:E41 F16 F18:F19 F23:F24 F30:F31 F35 F37:F38">
    <cfRule type="expression" dxfId="0" priority="51" stopIfTrue="1">
      <formula>$D11="日"</formula>
    </cfRule>
  </conditionalFormatting>
  <conditionalFormatting sqref="E11:E41 F16 F18:F19 F23:F24 F30:F31 F35 F37:F38">
    <cfRule type="expression" dxfId="1" priority="52" stopIfTrue="1">
      <formula>$D11="土"</formula>
    </cfRule>
  </conditionalFormatting>
  <conditionalFormatting sqref="E11:E41 F16 F18:F19 F23:F24 F30:F31 F35 F37:F38">
    <cfRule type="expression" dxfId="0" priority="53" stopIfTrue="1">
      <formula>$D11="日"</formula>
    </cfRule>
  </conditionalFormatting>
  <conditionalFormatting sqref="E11:E41 F16 F18:F19 F23:F24 F30:F31 F35 F37:F38">
    <cfRule type="expression" dxfId="1" priority="54" stopIfTrue="1">
      <formula>$D11="土"</formula>
    </cfRule>
  </conditionalFormatting>
  <conditionalFormatting sqref="E11:E15 E17:E22 E25:E29 E31:E40">
    <cfRule type="expression" dxfId="0" priority="55" stopIfTrue="1">
      <formula>$D11="日"</formula>
    </cfRule>
  </conditionalFormatting>
  <conditionalFormatting sqref="E11:E15 E17:E22 E25:E29 E31:E40">
    <cfRule type="expression" dxfId="1" priority="56" stopIfTrue="1">
      <formula>$D11="土"</formula>
    </cfRule>
  </conditionalFormatting>
  <conditionalFormatting sqref="E11:E15 E17:E22 E25:E29 E31:E40">
    <cfRule type="expression" dxfId="0" priority="57" stopIfTrue="1">
      <formula>$D11="日"</formula>
    </cfRule>
  </conditionalFormatting>
  <conditionalFormatting sqref="E11:E15 E17:E22 E25:E29 E31:E40">
    <cfRule type="expression" dxfId="1" priority="58" stopIfTrue="1">
      <formula>$D11="土"</formula>
    </cfRule>
  </conditionalFormatting>
  <conditionalFormatting sqref="E11:E15 E17:E22 E25:E29 E31:E40">
    <cfRule type="expression" dxfId="0" priority="59" stopIfTrue="1">
      <formula>$D11="日"</formula>
    </cfRule>
  </conditionalFormatting>
  <conditionalFormatting sqref="E11:E15 E17:E22 E25:E29 E31:E40">
    <cfRule type="expression" dxfId="1" priority="60" stopIfTrue="1">
      <formula>$D11="土"</formula>
    </cfRule>
  </conditionalFormatting>
  <conditionalFormatting sqref="E11:E15 E17:E22 E25:E29 E31:E40">
    <cfRule type="expression" dxfId="0" priority="61" stopIfTrue="1">
      <formula>$D11="日"</formula>
    </cfRule>
  </conditionalFormatting>
  <conditionalFormatting sqref="E11:E15 E17:E22 E25:E29 E31:E40">
    <cfRule type="expression" dxfId="1" priority="62" stopIfTrue="1">
      <formula>$D11="土"</formula>
    </cfRule>
  </conditionalFormatting>
  <conditionalFormatting sqref="E11:E15 E17:E22 E25:E29 E31:E40">
    <cfRule type="expression" dxfId="0" priority="63" stopIfTrue="1">
      <formula>$D11="日"</formula>
    </cfRule>
  </conditionalFormatting>
  <conditionalFormatting sqref="E11:E15 E17:E22 E25:E29 E31:E40">
    <cfRule type="expression" dxfId="1" priority="64" stopIfTrue="1">
      <formula>$D11="土"</formula>
    </cfRule>
  </conditionalFormatting>
  <conditionalFormatting sqref="E11:E15 E17:E22 E25:E29 E31:E40">
    <cfRule type="expression" dxfId="0" priority="65" stopIfTrue="1">
      <formula>$D11="日"</formula>
    </cfRule>
  </conditionalFormatting>
  <conditionalFormatting sqref="E11:E15 E17:E22 E25:E29 E31:E40">
    <cfRule type="expression" dxfId="1" priority="66" stopIfTrue="1">
      <formula>$D11="土"</formula>
    </cfRule>
  </conditionalFormatting>
  <conditionalFormatting sqref="E11:E41 F16 F18:F19 F23:F24 F30:F31 F35 F37:F38">
    <cfRule type="expression" dxfId="0" priority="67" stopIfTrue="1">
      <formula>$D11="日"</formula>
    </cfRule>
  </conditionalFormatting>
  <conditionalFormatting sqref="E11:E41 F16 F18:F19 F23:F24 F30:F31 F35 F37:F38">
    <cfRule type="expression" dxfId="1" priority="68" stopIfTrue="1">
      <formula>$D11="土"</formula>
    </cfRule>
  </conditionalFormatting>
  <conditionalFormatting sqref="E11:E41 F16 F18:F19 F23:F24 F30:F31 F35 F37:F38">
    <cfRule type="expression" dxfId="0" priority="69" stopIfTrue="1">
      <formula>$D11="日"</formula>
    </cfRule>
  </conditionalFormatting>
  <conditionalFormatting sqref="E11:E41 F16 F18:F19 F23:F24 F30:F31 F35 F37:F38">
    <cfRule type="expression" dxfId="1" priority="70" stopIfTrue="1">
      <formula>$D11="土"</formula>
    </cfRule>
  </conditionalFormatting>
  <conditionalFormatting sqref="E11:E41 F16 F18:F19 F23:F24 F30:F31 F35 F37:F38">
    <cfRule type="expression" dxfId="0" priority="71" stopIfTrue="1">
      <formula>$D11="日"</formula>
    </cfRule>
  </conditionalFormatting>
  <conditionalFormatting sqref="E11:E41 F16 F18:F19 F23:F24 F30:F31 F35 F37:F38">
    <cfRule type="expression" dxfId="1" priority="72" stopIfTrue="1">
      <formula>$D11="土"</formula>
    </cfRule>
  </conditionalFormatting>
  <conditionalFormatting sqref="E11:E41 F16 F18:F19 F23:F24 F30:F31 F35 F37:F38">
    <cfRule type="expression" dxfId="0" priority="73" stopIfTrue="1">
      <formula>$D11="日"</formula>
    </cfRule>
  </conditionalFormatting>
  <conditionalFormatting sqref="E11:E41 F16 F18:F19 F23:F24 F30:F31 F35 F37:F38">
    <cfRule type="expression" dxfId="1" priority="74" stopIfTrue="1">
      <formula>$D11="土"</formula>
    </cfRule>
  </conditionalFormatting>
  <conditionalFormatting sqref="E11:E41 F16 F18:F19 F23:F24 F30:F31 F35 F37:F38">
    <cfRule type="expression" dxfId="0" priority="75" stopIfTrue="1">
      <formula>$D11="日"</formula>
    </cfRule>
  </conditionalFormatting>
  <conditionalFormatting sqref="E11:E41 F16 F18:F19 F23:F24 F30:F31 F35 F37:F38">
    <cfRule type="expression" dxfId="1" priority="76" stopIfTrue="1">
      <formula>$D11="土"</formula>
    </cfRule>
  </conditionalFormatting>
  <conditionalFormatting sqref="E11:E41 F16 F18:F19 F23:F24 F30:F31 F35 F37:F38">
    <cfRule type="expression" dxfId="0" priority="77" stopIfTrue="1">
      <formula>$D11="日"</formula>
    </cfRule>
  </conditionalFormatting>
  <conditionalFormatting sqref="E11:E41 F16 F18:F19 F23:F24 F30:F31 F35 F37:F38">
    <cfRule type="expression" dxfId="1" priority="78" stopIfTrue="1">
      <formula>$D11="土"</formula>
    </cfRule>
  </conditionalFormatting>
  <conditionalFormatting sqref="E11:E41 F16 F18:F19 F23:F24 F30:F31 F35 F37:F38">
    <cfRule type="expression" dxfId="0" priority="79" stopIfTrue="1">
      <formula>$D11="日"</formula>
    </cfRule>
  </conditionalFormatting>
  <conditionalFormatting sqref="E11:E41 F16 F18:F19 F23:F24 F30:F31 F35 F37:F38">
    <cfRule type="expression" dxfId="1" priority="80" stopIfTrue="1">
      <formula>$D11="土"</formula>
    </cfRule>
  </conditionalFormatting>
  <conditionalFormatting sqref="E11:E41 F16 F18:F19 F23:F24 F30:F31 F35 F37:F38">
    <cfRule type="expression" dxfId="0" priority="81" stopIfTrue="1">
      <formula>$D11="日"</formula>
    </cfRule>
  </conditionalFormatting>
  <conditionalFormatting sqref="E11:E41 F16 F18:F19 F23:F24 F30:F31 F35 F37:F38">
    <cfRule type="expression" dxfId="1" priority="82" stopIfTrue="1">
      <formula>$D11="土"</formula>
    </cfRule>
  </conditionalFormatting>
  <conditionalFormatting sqref="E11:E41 F16 F18:F19 F23:F24 F30:F31 F35 F37:F38">
    <cfRule type="expression" dxfId="0" priority="83" stopIfTrue="1">
      <formula>$D11="日"</formula>
    </cfRule>
  </conditionalFormatting>
  <conditionalFormatting sqref="E11:E41 F16 F18:F19 F23:F24 F30:F31 F35 F37:F38">
    <cfRule type="expression" dxfId="1" priority="84" stopIfTrue="1">
      <formula>$D11="土"</formula>
    </cfRule>
  </conditionalFormatting>
  <conditionalFormatting sqref="E11:E41 F16 F18:F19 F23:F24 F30:F31 F35 F37:F38">
    <cfRule type="expression" dxfId="0" priority="85" stopIfTrue="1">
      <formula>$D11="日"</formula>
    </cfRule>
  </conditionalFormatting>
  <conditionalFormatting sqref="E11:E41 F16 F18:F19 F23:F24 F30:F31 F35 F37:F38">
    <cfRule type="expression" dxfId="1" priority="86" stopIfTrue="1">
      <formula>$D11="土"</formula>
    </cfRule>
  </conditionalFormatting>
  <conditionalFormatting sqref="E11:E41 F16 F18:F19 F23:F24 F30:F31 F35 F37:F38">
    <cfRule type="expression" dxfId="0" priority="87" stopIfTrue="1">
      <formula>$D11="日"</formula>
    </cfRule>
  </conditionalFormatting>
  <conditionalFormatting sqref="E11:E41 F16 F18:F19 F23:F24 F30:F31 F35 F37:F38">
    <cfRule type="expression" dxfId="1" priority="88" stopIfTrue="1">
      <formula>$D11="土"</formula>
    </cfRule>
  </conditionalFormatting>
  <conditionalFormatting sqref="E11:E41 F16 F18:F19 F23:F24 F30:F31 F35 F37:F38">
    <cfRule type="expression" dxfId="0" priority="89" stopIfTrue="1">
      <formula>$D11="日"</formula>
    </cfRule>
  </conditionalFormatting>
  <conditionalFormatting sqref="E11:E41 F16 F18:F19 F23:F24 F30:F31 F35 F37:F38">
    <cfRule type="expression" dxfId="1" priority="90" stopIfTrue="1">
      <formula>$D11="土"</formula>
    </cfRule>
  </conditionalFormatting>
  <conditionalFormatting sqref="E11:E41 F16 F18:F19 F23:F24 F30:F31 F35 F37:F38">
    <cfRule type="expression" dxfId="0" priority="91" stopIfTrue="1">
      <formula>$D11="日"</formula>
    </cfRule>
  </conditionalFormatting>
  <conditionalFormatting sqref="E11:E41 F16 F18:F19 F23:F24 F30:F31 F35 F37:F38">
    <cfRule type="expression" dxfId="1" priority="92" stopIfTrue="1">
      <formula>$D11="土"</formula>
    </cfRule>
  </conditionalFormatting>
  <conditionalFormatting sqref="E11:E41 F16 F18:F19 F23:F24 F30:F31 F35 F37:F38">
    <cfRule type="expression" dxfId="0" priority="93" stopIfTrue="1">
      <formula>$D11="日"</formula>
    </cfRule>
  </conditionalFormatting>
  <conditionalFormatting sqref="E11:E41 F16 F18:F19 F23:F24 F30:F31 F35 F37:F38">
    <cfRule type="expression" dxfId="1" priority="94" stopIfTrue="1">
      <formula>$D11="土"</formula>
    </cfRule>
  </conditionalFormatting>
  <conditionalFormatting sqref="E11:E41 F16 F18:F19 F23:F24 F30:F31 F35 F37:F38">
    <cfRule type="expression" dxfId="0" priority="95" stopIfTrue="1">
      <formula>$D11="日"</formula>
    </cfRule>
  </conditionalFormatting>
  <conditionalFormatting sqref="E11:E41 F16 F18:F19 F23:F24 F30:F31 F35 F37:F38">
    <cfRule type="expression" dxfId="1" priority="96" stopIfTrue="1">
      <formula>$D11="土"</formula>
    </cfRule>
  </conditionalFormatting>
  <conditionalFormatting sqref="E11:E41 F16 F18:F19 F23:F24 F30:F31 F35 F37:F38">
    <cfRule type="expression" dxfId="0" priority="97" stopIfTrue="1">
      <formula>$D11="日"</formula>
    </cfRule>
  </conditionalFormatting>
  <conditionalFormatting sqref="E11:E41 F16 F18:F19 F23:F24 F30:F31 F35 F37:F38">
    <cfRule type="expression" dxfId="1" priority="98" stopIfTrue="1">
      <formula>$D11="土"</formula>
    </cfRule>
  </conditionalFormatting>
  <conditionalFormatting sqref="E11:E41 F16 F18:F19 F23:F24 F30:F31 F35 F37:F38">
    <cfRule type="expression" dxfId="0" priority="99" stopIfTrue="1">
      <formula>$D11="日"</formula>
    </cfRule>
  </conditionalFormatting>
  <conditionalFormatting sqref="E11:E41 F16 F18:F19 F23:F24 F30:F31 F35 F37:F38">
    <cfRule type="expression" dxfId="1" priority="100" stopIfTrue="1">
      <formula>$D11="土"</formula>
    </cfRule>
  </conditionalFormatting>
  <conditionalFormatting sqref="E11:E41 F16 F18:F19 F23:F24 F30:F31 F35 F37:F38">
    <cfRule type="expression" dxfId="0" priority="101" stopIfTrue="1">
      <formula>$D11="日"</formula>
    </cfRule>
  </conditionalFormatting>
  <conditionalFormatting sqref="E11:E41 F16 F18:F19 F23:F24 F30:F31 F35 F37:F38">
    <cfRule type="expression" dxfId="1" priority="102" stopIfTrue="1">
      <formula>$D11="土"</formula>
    </cfRule>
  </conditionalFormatting>
  <conditionalFormatting sqref="E11:E41 F16 F18:F19 F23:F24 F30:F31 F35 F37:F38">
    <cfRule type="expression" dxfId="0" priority="103" stopIfTrue="1">
      <formula>$D11="日"</formula>
    </cfRule>
  </conditionalFormatting>
  <conditionalFormatting sqref="E11:E41 F16 F18:F19 F23:F24 F30:F31 F35 F37:F38">
    <cfRule type="expression" dxfId="1" priority="104" stopIfTrue="1">
      <formula>$D11="土"</formula>
    </cfRule>
  </conditionalFormatting>
  <conditionalFormatting sqref="E11:E40 F16 F18:F19 F23:F24 F30:F31 F35 F37:F38">
    <cfRule type="expression" dxfId="0" priority="105" stopIfTrue="1">
      <formula>$D11="日"</formula>
    </cfRule>
  </conditionalFormatting>
  <conditionalFormatting sqref="E11:E40 F16 F18:F19 F23:F24 F30:F31 F35 F37:F38">
    <cfRule type="expression" dxfId="1" priority="106" stopIfTrue="1">
      <formula>$D11="土"</formula>
    </cfRule>
  </conditionalFormatting>
  <conditionalFormatting sqref="E11:E40 F16 F18:F19 F23:F24 F30:F31 F35 F37:F38">
    <cfRule type="expression" dxfId="0" priority="107" stopIfTrue="1">
      <formula>$D11="日"</formula>
    </cfRule>
  </conditionalFormatting>
  <conditionalFormatting sqref="E11:E40 F16 F18:F19 F23:F24 F30:F31 F35 F37:F38">
    <cfRule type="expression" dxfId="1" priority="108" stopIfTrue="1">
      <formula>$D11="土"</formula>
    </cfRule>
  </conditionalFormatting>
  <conditionalFormatting sqref="E11:E40 F16 F18:F19 F23:F24 F30:F31 F35 F37:F38">
    <cfRule type="expression" dxfId="0" priority="109" stopIfTrue="1">
      <formula>$D11="日"</formula>
    </cfRule>
  </conditionalFormatting>
  <conditionalFormatting sqref="E11:E40 F16 F18:F19 F23:F24 F30:F31 F35 F37:F38">
    <cfRule type="expression" dxfId="1" priority="110" stopIfTrue="1">
      <formula>$D11="土"</formula>
    </cfRule>
  </conditionalFormatting>
  <conditionalFormatting sqref="E11:E40 F16 F18:F19 F23:F24 F30:F31 F35 F37:F38">
    <cfRule type="expression" dxfId="0" priority="111" stopIfTrue="1">
      <formula>$D11="日"</formula>
    </cfRule>
  </conditionalFormatting>
  <conditionalFormatting sqref="E11:E40 F16 F18:F19 F23:F24 F30:F31 F35 F37:F38">
    <cfRule type="expression" dxfId="1" priority="112" stopIfTrue="1">
      <formula>$D11="土"</formula>
    </cfRule>
  </conditionalFormatting>
  <conditionalFormatting sqref="E11:E40 F16 F18:F19 F23:F24 F30:F31 F35 F37:F38">
    <cfRule type="expression" dxfId="0" priority="113" stopIfTrue="1">
      <formula>$D11="日"</formula>
    </cfRule>
  </conditionalFormatting>
  <conditionalFormatting sqref="E11:E40 F16 F18:F19 F23:F24 F30:F31 F35 F37:F38">
    <cfRule type="expression" dxfId="1" priority="114" stopIfTrue="1">
      <formula>$D11="土"</formula>
    </cfRule>
  </conditionalFormatting>
  <conditionalFormatting sqref="E11:E41 F16 F18:F19 F23:F24 F30:F31 F35 F37:F38">
    <cfRule type="expression" dxfId="0" priority="115" stopIfTrue="1">
      <formula>$D11="日"</formula>
    </cfRule>
  </conditionalFormatting>
  <conditionalFormatting sqref="E11:E41 F16 F18:F19 F23:F24 F30:F31 F35 F37:F38">
    <cfRule type="expression" dxfId="1" priority="116" stopIfTrue="1">
      <formula>$D11="土"</formula>
    </cfRule>
  </conditionalFormatting>
  <conditionalFormatting sqref="E11:E41 F16 F18:F19 F23:F24 F30:F31 F35 F37:F38">
    <cfRule type="expression" dxfId="0" priority="117" stopIfTrue="1">
      <formula>$D11="日"</formula>
    </cfRule>
  </conditionalFormatting>
  <conditionalFormatting sqref="E11:E41 F16 F18:F19 F23:F24 F30:F31 F35 F37:F38">
    <cfRule type="expression" dxfId="1" priority="118" stopIfTrue="1">
      <formula>$D11="土"</formula>
    </cfRule>
  </conditionalFormatting>
  <conditionalFormatting sqref="E11:E41 F16 F18:F19 F23:F24 F30:F31 F35 F37:F38">
    <cfRule type="expression" dxfId="0" priority="119" stopIfTrue="1">
      <formula>$D11="日"</formula>
    </cfRule>
  </conditionalFormatting>
  <conditionalFormatting sqref="E11:E41 F16 F18:F19 F23:F24 F30:F31 F35 F37:F38">
    <cfRule type="expression" dxfId="1" priority="120" stopIfTrue="1">
      <formula>$D11="土"</formula>
    </cfRule>
  </conditionalFormatting>
  <conditionalFormatting sqref="E11:E41 F16 F18:F19 F23:F24 F30:F31 F35 F37:F38">
    <cfRule type="expression" dxfId="0" priority="121" stopIfTrue="1">
      <formula>$D11="日"</formula>
    </cfRule>
  </conditionalFormatting>
  <conditionalFormatting sqref="E11:E41 F16 F18:F19 F23:F24 F30:F31 F35 F37:F38">
    <cfRule type="expression" dxfId="1" priority="122" stopIfTrue="1">
      <formula>$D11="土"</formula>
    </cfRule>
  </conditionalFormatting>
  <conditionalFormatting sqref="E11:E41 F16 F18:F19 F23:F24 F30:F31 F35 F37:F38">
    <cfRule type="expression" dxfId="0" priority="123" stopIfTrue="1">
      <formula>$D11="日"</formula>
    </cfRule>
  </conditionalFormatting>
  <conditionalFormatting sqref="E11:E41 F16 F18:F19 F23:F24 F30:F31 F35 F37:F38">
    <cfRule type="expression" dxfId="1" priority="124" stopIfTrue="1">
      <formula>$D11="土"</formula>
    </cfRule>
  </conditionalFormatting>
  <conditionalFormatting sqref="E11:E41 F16 F18:F19 F23:F24 F30:F31 F35 F37:F38">
    <cfRule type="expression" dxfId="0" priority="125" stopIfTrue="1">
      <formula>$D11="日"</formula>
    </cfRule>
  </conditionalFormatting>
  <conditionalFormatting sqref="E11:E41 F16 F18:F19 F23:F24 F30:F31 F35 F37:F38">
    <cfRule type="expression" dxfId="1" priority="126" stopIfTrue="1">
      <formula>$D11="土"</formula>
    </cfRule>
  </conditionalFormatting>
  <conditionalFormatting sqref="E11:E41 F16 F18:F19 F23:F24 F30:F31 F35 F37:F38">
    <cfRule type="expression" dxfId="0" priority="127" stopIfTrue="1">
      <formula>$D11="日"</formula>
    </cfRule>
  </conditionalFormatting>
  <conditionalFormatting sqref="E11:E41 F16 F18:F19 F23:F24 F30:F31 F35 F37:F38">
    <cfRule type="expression" dxfId="1" priority="128" stopIfTrue="1">
      <formula>$D11="土"</formula>
    </cfRule>
  </conditionalFormatting>
  <conditionalFormatting sqref="E11:E41 F16 F18:F19 F23:F24 F30:F31 F35 F37:F38">
    <cfRule type="expression" dxfId="0" priority="129" stopIfTrue="1">
      <formula>$D11="日"</formula>
    </cfRule>
  </conditionalFormatting>
  <conditionalFormatting sqref="E11:E41 F16 F18:F19 F23:F24 F30:F31 F35 F37:F38">
    <cfRule type="expression" dxfId="1" priority="130" stopIfTrue="1">
      <formula>$D11="土"</formula>
    </cfRule>
  </conditionalFormatting>
  <conditionalFormatting sqref="E11:E41 F16 F18:F19 F23:F24 F30:F31 F35 F37:F38">
    <cfRule type="expression" dxfId="0" priority="131" stopIfTrue="1">
      <formula>$D11="日"</formula>
    </cfRule>
  </conditionalFormatting>
  <conditionalFormatting sqref="E11:E41 F16 F18:F19 F23:F24 F30:F31 F35 F37:F38">
    <cfRule type="expression" dxfId="1" priority="132" stopIfTrue="1">
      <formula>$D11="土"</formula>
    </cfRule>
  </conditionalFormatting>
  <conditionalFormatting sqref="E11:E41 F16 F18:F19 F23:F24 F30:F31 F35 F37:F38">
    <cfRule type="expression" dxfId="0" priority="133" stopIfTrue="1">
      <formula>$D11="日"</formula>
    </cfRule>
  </conditionalFormatting>
  <conditionalFormatting sqref="E11:E41 F16 F18:F19 F23:F24 F30:F31 F35 F37:F38">
    <cfRule type="expression" dxfId="1" priority="134" stopIfTrue="1">
      <formula>$D11="土"</formula>
    </cfRule>
  </conditionalFormatting>
  <conditionalFormatting sqref="E11:E41 F16 F18:F19 F23:F24 F30:F31 F35 F37:F38">
    <cfRule type="expression" dxfId="0" priority="135" stopIfTrue="1">
      <formula>$D11="日"</formula>
    </cfRule>
  </conditionalFormatting>
  <conditionalFormatting sqref="E11:E41 F16 F18:F19 F23:F24 F30:F31 F35 F37:F38">
    <cfRule type="expression" dxfId="1" priority="136" stopIfTrue="1">
      <formula>$D11="土"</formula>
    </cfRule>
  </conditionalFormatting>
  <conditionalFormatting sqref="E11:E41 F16 F18:F19 F23:F24 F30:F31 F35 F37:F38">
    <cfRule type="expression" dxfId="0" priority="137" stopIfTrue="1">
      <formula>$D11="日"</formula>
    </cfRule>
  </conditionalFormatting>
  <conditionalFormatting sqref="E11:E41 F16 F18:F19 F23:F24 F30:F31 F35 F37:F38">
    <cfRule type="expression" dxfId="1" priority="138" stopIfTrue="1">
      <formula>$D11="土"</formula>
    </cfRule>
  </conditionalFormatting>
  <conditionalFormatting sqref="E11:E41 F16 F18:F19 F23:F24 F30:F31 F35 F37:F38">
    <cfRule type="expression" dxfId="0" priority="139" stopIfTrue="1">
      <formula>$D11="日"</formula>
    </cfRule>
  </conditionalFormatting>
  <conditionalFormatting sqref="E11:E41 F16 F18:F19 F23:F24 F30:F31 F35 F37:F38">
    <cfRule type="expression" dxfId="1" priority="140" stopIfTrue="1">
      <formula>$D11="土"</formula>
    </cfRule>
  </conditionalFormatting>
  <conditionalFormatting sqref="E11:E41 F16 F18:F19 F23:F24 F30:F31 F35 F37:F38">
    <cfRule type="expression" dxfId="0" priority="141" stopIfTrue="1">
      <formula>$D11="日"</formula>
    </cfRule>
  </conditionalFormatting>
  <conditionalFormatting sqref="E11:E41 F16 F18:F19 F23:F24 F30:F31 F35 F37:F38">
    <cfRule type="expression" dxfId="1" priority="142" stopIfTrue="1">
      <formula>$D11="土"</formula>
    </cfRule>
  </conditionalFormatting>
  <conditionalFormatting sqref="E11:E41 F16 F18:F19 F23:F24 F30:F31 F35 F37:F38">
    <cfRule type="expression" dxfId="0" priority="143" stopIfTrue="1">
      <formula>$D11="日"</formula>
    </cfRule>
  </conditionalFormatting>
  <conditionalFormatting sqref="E11:E41 F16 F18:F19 F23:F24 F30:F31 F35 F37:F38">
    <cfRule type="expression" dxfId="1" priority="144" stopIfTrue="1">
      <formula>$D11="土"</formula>
    </cfRule>
  </conditionalFormatting>
  <conditionalFormatting sqref="E11:E41 F16 F18:F19 F23:F24 F30:F31 F35 F37:F38">
    <cfRule type="expression" dxfId="0" priority="145" stopIfTrue="1">
      <formula>$D11="日"</formula>
    </cfRule>
  </conditionalFormatting>
  <conditionalFormatting sqref="E11:E41 F16 F18:F19 F23:F24 F30:F31 F35 F37:F38">
    <cfRule type="expression" dxfId="1" priority="146" stopIfTrue="1">
      <formula>$D11="土"</formula>
    </cfRule>
  </conditionalFormatting>
  <conditionalFormatting sqref="E11:E41 F16 F18:F19 F23:F24 F30:F31 F35 F37:F38">
    <cfRule type="expression" dxfId="0" priority="147" stopIfTrue="1">
      <formula>$D11="日"</formula>
    </cfRule>
  </conditionalFormatting>
  <conditionalFormatting sqref="E11:E41 F16 F18:F19 F23:F24 F30:F31 F35 F37:F38">
    <cfRule type="expression" dxfId="1" priority="148" stopIfTrue="1">
      <formula>$D11="土"</formula>
    </cfRule>
  </conditionalFormatting>
  <conditionalFormatting sqref="E11:E41 F16 F18:F19 F23:F24 F30:F31 F35 F37:F38">
    <cfRule type="expression" dxfId="0" priority="149" stopIfTrue="1">
      <formula>$D11="日"</formula>
    </cfRule>
  </conditionalFormatting>
  <conditionalFormatting sqref="E11:E41 F16 F18:F19 F23:F24 F30:F31 F35 F37:F38">
    <cfRule type="expression" dxfId="1" priority="150" stopIfTrue="1">
      <formula>$D11="土"</formula>
    </cfRule>
  </conditionalFormatting>
  <conditionalFormatting sqref="E11:E41 F16 F18:F19 F23:F24 F30:F31 F35 F37:F38">
    <cfRule type="expression" dxfId="0" priority="151" stopIfTrue="1">
      <formula>$D11="日"</formula>
    </cfRule>
  </conditionalFormatting>
  <conditionalFormatting sqref="E11:E41 F16 F18:F19 F23:F24 F30:F31 F35 F37:F38">
    <cfRule type="expression" dxfId="1" priority="152" stopIfTrue="1">
      <formula>$D11="土"</formula>
    </cfRule>
  </conditionalFormatting>
  <conditionalFormatting sqref="E11:E41 F16 F18:F19 F23:F24 F30:F31 F35 F37:F38">
    <cfRule type="expression" dxfId="0" priority="153" stopIfTrue="1">
      <formula>$D11="日"</formula>
    </cfRule>
  </conditionalFormatting>
  <conditionalFormatting sqref="E11:E41 F16 F18:F19 F23:F24 F30:F31 F35 F37:F38">
    <cfRule type="expression" dxfId="1" priority="154" stopIfTrue="1">
      <formula>$D11="土"</formula>
    </cfRule>
  </conditionalFormatting>
  <conditionalFormatting sqref="E11:E40 F16 F18:F19 F23:F24 F30:F31 F35 F37:F38">
    <cfRule type="expression" dxfId="0" priority="155" stopIfTrue="1">
      <formula>$D11="日"</formula>
    </cfRule>
  </conditionalFormatting>
  <conditionalFormatting sqref="E11:E40 F16 F18:F19 F23:F24 F30:F31 F35 F37:F38">
    <cfRule type="expression" dxfId="1" priority="156" stopIfTrue="1">
      <formula>$D11="土"</formula>
    </cfRule>
  </conditionalFormatting>
  <conditionalFormatting sqref="E11:E40 F16 F18:F19 F23:F24 F30:F31 F35 F37:F38">
    <cfRule type="expression" dxfId="0" priority="157" stopIfTrue="1">
      <formula>$D11="日"</formula>
    </cfRule>
  </conditionalFormatting>
  <conditionalFormatting sqref="E11:E40 F16 F18:F19 F23:F24 F30:F31 F35 F37:F38">
    <cfRule type="expression" dxfId="1" priority="158" stopIfTrue="1">
      <formula>$D11="土"</formula>
    </cfRule>
  </conditionalFormatting>
  <conditionalFormatting sqref="E11:E40 F16 F18:F19 F23:F24 F30:F31 F35 F37:F38">
    <cfRule type="expression" dxfId="0" priority="159" stopIfTrue="1">
      <formula>$D11="日"</formula>
    </cfRule>
  </conditionalFormatting>
  <conditionalFormatting sqref="E11:E40 F16 F18:F19 F23:F24 F30:F31 F35 F37:F38">
    <cfRule type="expression" dxfId="1" priority="160" stopIfTrue="1">
      <formula>$D11="土"</formula>
    </cfRule>
  </conditionalFormatting>
  <conditionalFormatting sqref="E11:E40 F16 F18:F19 F23:F24 F30:F31 F35 F37:F38">
    <cfRule type="expression" dxfId="0" priority="161" stopIfTrue="1">
      <formula>$D11="日"</formula>
    </cfRule>
  </conditionalFormatting>
  <conditionalFormatting sqref="E11:E40 F16 F18:F19 F23:F24 F30:F31 F35 F37:F38">
    <cfRule type="expression" dxfId="1" priority="162" stopIfTrue="1">
      <formula>$D11="土"</formula>
    </cfRule>
  </conditionalFormatting>
  <conditionalFormatting sqref="E11:E40 F16 F18:F19 F23:F24 F30:F31 F35 F37:F38">
    <cfRule type="expression" dxfId="0" priority="163" stopIfTrue="1">
      <formula>$D11="日"</formula>
    </cfRule>
  </conditionalFormatting>
  <conditionalFormatting sqref="E11:E40 F16 F18:F19 F23:F24 F30:F31 F35 F37:F38">
    <cfRule type="expression" dxfId="1" priority="164" stopIfTrue="1">
      <formula>$D11="土"</formula>
    </cfRule>
  </conditionalFormatting>
  <conditionalFormatting sqref="E11:E40 F16 F18:F19 F23:F24 F30:F31 F35 F37:F38">
    <cfRule type="expression" dxfId="0" priority="165" stopIfTrue="1">
      <formula>$D11="日"</formula>
    </cfRule>
  </conditionalFormatting>
  <conditionalFormatting sqref="E11:E40 F16 F18:F19 F23:F24 F30:F31 F35 F37:F38">
    <cfRule type="expression" dxfId="1" priority="166" stopIfTrue="1">
      <formula>$D11="土"</formula>
    </cfRule>
  </conditionalFormatting>
  <conditionalFormatting sqref="E11:E40 F16 F18:F19 F23:F24 F30:F31 F35 F37:F38">
    <cfRule type="expression" dxfId="0" priority="167" stopIfTrue="1">
      <formula>$D11="日"</formula>
    </cfRule>
  </conditionalFormatting>
  <conditionalFormatting sqref="E11:E40 F16 F18:F19 F23:F24 F30:F31 F35 F37:F38">
    <cfRule type="expression" dxfId="1" priority="168" stopIfTrue="1">
      <formula>$D11="土"</formula>
    </cfRule>
  </conditionalFormatting>
  <conditionalFormatting sqref="E11:E40 F16 F18:F19 F23:F24 F30:F31 F35 F37:F38">
    <cfRule type="expression" dxfId="0" priority="169" stopIfTrue="1">
      <formula>$D11="日"</formula>
    </cfRule>
  </conditionalFormatting>
  <conditionalFormatting sqref="E11:E40 F16 F18:F19 F23:F24 F30:F31 F35 F37:F38">
    <cfRule type="expression" dxfId="1" priority="170" stopIfTrue="1">
      <formula>$D11="土"</formula>
    </cfRule>
  </conditionalFormatting>
  <conditionalFormatting sqref="E11:E40 F16 F18:F19 F23:F24 F30:F31 F35 F37:F38">
    <cfRule type="expression" dxfId="0" priority="171" stopIfTrue="1">
      <formula>$D11="日"</formula>
    </cfRule>
  </conditionalFormatting>
  <conditionalFormatting sqref="E11:E40 F16 F18:F19 F23:F24 F30:F31 F35 F37:F38">
    <cfRule type="expression" dxfId="1" priority="172" stopIfTrue="1">
      <formula>$D11="土"</formula>
    </cfRule>
  </conditionalFormatting>
  <conditionalFormatting sqref="E11:E40 F16 F18:F19 F23:F24 F30:F31 F35 F37:F38">
    <cfRule type="expression" dxfId="0" priority="173" stopIfTrue="1">
      <formula>$D11="日"</formula>
    </cfRule>
  </conditionalFormatting>
  <conditionalFormatting sqref="E11:E40 F16 F18:F19 F23:F24 F30:F31 F35 F37:F38">
    <cfRule type="expression" dxfId="1" priority="174" stopIfTrue="1">
      <formula>$D11="土"</formula>
    </cfRule>
  </conditionalFormatting>
  <conditionalFormatting sqref="E11:E40 F16 F18:F19 F23:F24 F30:F31 F35 F37:F38">
    <cfRule type="expression" dxfId="0" priority="175" stopIfTrue="1">
      <formula>$D11="日"</formula>
    </cfRule>
  </conditionalFormatting>
  <conditionalFormatting sqref="E11:E40 F16 F18:F19 F23:F24 F30:F31 F35 F37:F38">
    <cfRule type="expression" dxfId="1" priority="176" stopIfTrue="1">
      <formula>$D11="土"</formula>
    </cfRule>
  </conditionalFormatting>
  <conditionalFormatting sqref="E11:E40 F16 F18:F19 F23:F24 F30:F31 F35 F37:F38">
    <cfRule type="expression" dxfId="0" priority="177" stopIfTrue="1">
      <formula>$D11="日"</formula>
    </cfRule>
  </conditionalFormatting>
  <conditionalFormatting sqref="E11:E40 F16 F18:F19 F23:F24 F30:F31 F35 F37:F38">
    <cfRule type="expression" dxfId="1" priority="178" stopIfTrue="1">
      <formula>$D11="土"</formula>
    </cfRule>
  </conditionalFormatting>
  <conditionalFormatting sqref="E11:E40 F16 F18:F19 F23:F24 F30:F31 F35 F37:F38">
    <cfRule type="expression" dxfId="0" priority="179" stopIfTrue="1">
      <formula>$D11="日"</formula>
    </cfRule>
  </conditionalFormatting>
  <conditionalFormatting sqref="E11:E40 F16 F18:F19 F23:F24 F30:F31 F35 F37:F38">
    <cfRule type="expression" dxfId="1" priority="180" stopIfTrue="1">
      <formula>$D11="土"</formula>
    </cfRule>
  </conditionalFormatting>
  <conditionalFormatting sqref="E11:E40 F16 F18:F19 F23:F24 F30:F31 F35 F37:F38">
    <cfRule type="expression" dxfId="0" priority="181" stopIfTrue="1">
      <formula>$D11="日"</formula>
    </cfRule>
  </conditionalFormatting>
  <conditionalFormatting sqref="E11:E40 F16 F18:F19 F23:F24 F30:F31 F35 F37:F38">
    <cfRule type="expression" dxfId="1" priority="182" stopIfTrue="1">
      <formula>$D11="土"</formula>
    </cfRule>
  </conditionalFormatting>
  <conditionalFormatting sqref="E11:E40 F16 F18:F19 F23:F24 F30:F31 F35 F37:F38">
    <cfRule type="expression" dxfId="0" priority="183" stopIfTrue="1">
      <formula>$D11="日"</formula>
    </cfRule>
  </conditionalFormatting>
  <conditionalFormatting sqref="E11:E40 F16 F18:F19 F23:F24 F30:F31 F35 F37:F38">
    <cfRule type="expression" dxfId="1" priority="184" stopIfTrue="1">
      <formula>$D11="土"</formula>
    </cfRule>
  </conditionalFormatting>
  <conditionalFormatting sqref="E11:E40 F16 F18:F19 F23:F24 F30:F31 F35 F37:F38">
    <cfRule type="expression" dxfId="0" priority="185" stopIfTrue="1">
      <formula>$D11="日"</formula>
    </cfRule>
  </conditionalFormatting>
  <conditionalFormatting sqref="E11:E40 F16 F18:F19 F23:F24 F30:F31 F35 F37:F38">
    <cfRule type="expression" dxfId="1" priority="186" stopIfTrue="1">
      <formula>$D11="土"</formula>
    </cfRule>
  </conditionalFormatting>
  <conditionalFormatting sqref="E11:E40 F16 F18:F19 F23:F24 F30:F31 F35 F37:F38">
    <cfRule type="expression" dxfId="0" priority="187" stopIfTrue="1">
      <formula>$D11="日"</formula>
    </cfRule>
  </conditionalFormatting>
  <conditionalFormatting sqref="E11:E40 F16 F18:F19 F23:F24 F30:F31 F35 F37:F38">
    <cfRule type="expression" dxfId="1" priority="188" stopIfTrue="1">
      <formula>$D11="土"</formula>
    </cfRule>
  </conditionalFormatting>
  <conditionalFormatting sqref="E11:E40 F16 F18:F19 F23:F24 F30:F31 F35 F37:F38">
    <cfRule type="expression" dxfId="0" priority="189" stopIfTrue="1">
      <formula>$D11="日"</formula>
    </cfRule>
  </conditionalFormatting>
  <conditionalFormatting sqref="E11:E40 F16 F18:F19 F23:F24 F30:F31 F35 F37:F38">
    <cfRule type="expression" dxfId="1" priority="190" stopIfTrue="1">
      <formula>$D11="土"</formula>
    </cfRule>
  </conditionalFormatting>
  <conditionalFormatting sqref="E11:E40 F16 F18:F19 F23:F24 F30:F31 F35 F37:F38">
    <cfRule type="expression" dxfId="0" priority="191" stopIfTrue="1">
      <formula>$D11="日"</formula>
    </cfRule>
  </conditionalFormatting>
  <conditionalFormatting sqref="E11:E40 F16 F18:F19 F23:F24 F30:F31 F35 F37:F38">
    <cfRule type="expression" dxfId="1" priority="192" stopIfTrue="1">
      <formula>$D11="土"</formula>
    </cfRule>
  </conditionalFormatting>
  <conditionalFormatting sqref="E11:E40 F16 F18:F19 F23:F24 F30:F31 F35 F37:F38">
    <cfRule type="expression" dxfId="0" priority="193" stopIfTrue="1">
      <formula>$D11="日"</formula>
    </cfRule>
  </conditionalFormatting>
  <conditionalFormatting sqref="E11:E40 F16 F18:F19 F23:F24 F30:F31 F35 F37:F38">
    <cfRule type="expression" dxfId="1" priority="194" stopIfTrue="1">
      <formula>$D11="土"</formula>
    </cfRule>
  </conditionalFormatting>
  <conditionalFormatting sqref="E11:E40 F16 F18:F19 F23:F24 F30:F31 F35 F37:F38">
    <cfRule type="expression" dxfId="0" priority="195" stopIfTrue="1">
      <formula>$D11="日"</formula>
    </cfRule>
  </conditionalFormatting>
  <conditionalFormatting sqref="E11:E40 F16 F18:F19 F23:F24 F30:F31 F35 F37:F38">
    <cfRule type="expression" dxfId="1" priority="196" stopIfTrue="1">
      <formula>$D11="土"</formula>
    </cfRule>
  </conditionalFormatting>
  <conditionalFormatting sqref="E11:E40 F16 F18:F19 F23:F24 F30:F31 F35 F37:F38">
    <cfRule type="expression" dxfId="0" priority="197" stopIfTrue="1">
      <formula>$D11="日"</formula>
    </cfRule>
  </conditionalFormatting>
  <conditionalFormatting sqref="E11:E40 F16 F18:F19 F23:F24 F30:F31 F35 F37:F38">
    <cfRule type="expression" dxfId="1" priority="198" stopIfTrue="1">
      <formula>$D11="土"</formula>
    </cfRule>
  </conditionalFormatting>
  <conditionalFormatting sqref="E11:E40 F16 F18:F19 F23:F24 F30:F31 F35 F37:F38">
    <cfRule type="expression" dxfId="0" priority="199" stopIfTrue="1">
      <formula>$D11="日"</formula>
    </cfRule>
  </conditionalFormatting>
  <conditionalFormatting sqref="E11:E40 F16 F18:F19 F23:F24 F30:F31 F35 F37:F38">
    <cfRule type="expression" dxfId="1" priority="200" stopIfTrue="1">
      <formula>$D11="土"</formula>
    </cfRule>
  </conditionalFormatting>
  <conditionalFormatting sqref="E11:E41 F16 F18:F19 F23:F24 F30:F31 F35 F37:F38">
    <cfRule type="expression" dxfId="0" priority="201" stopIfTrue="1">
      <formula>$D11="日"</formula>
    </cfRule>
  </conditionalFormatting>
  <conditionalFormatting sqref="E11:E41 F16 F18:F19 F23:F24 F30:F31 F35 F37:F38">
    <cfRule type="expression" dxfId="1" priority="202" stopIfTrue="1">
      <formula>$D11="土"</formula>
    </cfRule>
  </conditionalFormatting>
  <conditionalFormatting sqref="E11:E41 F16 F18:F19 F23:F24 F30:F31 F35 F37:F38">
    <cfRule type="expression" dxfId="0" priority="203" stopIfTrue="1">
      <formula>$D11="日"</formula>
    </cfRule>
  </conditionalFormatting>
  <conditionalFormatting sqref="E11:E41 F16 F18:F19 F23:F24 F30:F31 F35 F37:F38">
    <cfRule type="expression" dxfId="1" priority="204" stopIfTrue="1">
      <formula>$D11="土"</formula>
    </cfRule>
  </conditionalFormatting>
  <conditionalFormatting sqref="E11:E41 F16 F18:F19 F23:F24 F30:F31 F35 F37:F38">
    <cfRule type="expression" dxfId="0" priority="205" stopIfTrue="1">
      <formula>$D11="日"</formula>
    </cfRule>
  </conditionalFormatting>
  <conditionalFormatting sqref="E11:E41 F16 F18:F19 F23:F24 F30:F31 F35 F37:F38">
    <cfRule type="expression" dxfId="1" priority="206" stopIfTrue="1">
      <formula>$D11="土"</formula>
    </cfRule>
  </conditionalFormatting>
  <conditionalFormatting sqref="E11:E41 F16 F18:F19 F23:F24 F30:F31 F35 F37:F38">
    <cfRule type="expression" dxfId="0" priority="207" stopIfTrue="1">
      <formula>$D11="日"</formula>
    </cfRule>
  </conditionalFormatting>
  <conditionalFormatting sqref="E11:E41 F16 F18:F19 F23:F24 F30:F31 F35 F37:F38">
    <cfRule type="expression" dxfId="1" priority="208" stopIfTrue="1">
      <formula>$D11="土"</formula>
    </cfRule>
  </conditionalFormatting>
  <conditionalFormatting sqref="E11:E41 F16 F18:F19 F23:F24 F30:F31 F35 F37:F38">
    <cfRule type="expression" dxfId="0" priority="209" stopIfTrue="1">
      <formula>$D11="日"</formula>
    </cfRule>
  </conditionalFormatting>
  <conditionalFormatting sqref="E11:E41 F16 F18:F19 F23:F24 F30:F31 F35 F37:F38">
    <cfRule type="expression" dxfId="1" priority="210" stopIfTrue="1">
      <formula>$D11="土"</formula>
    </cfRule>
  </conditionalFormatting>
  <conditionalFormatting sqref="E11:E41 F16 F18:F19 F23:F24 F30:F31 F35 F37:F38">
    <cfRule type="expression" dxfId="0" priority="211" stopIfTrue="1">
      <formula>$D11="日"</formula>
    </cfRule>
  </conditionalFormatting>
  <conditionalFormatting sqref="E11:E41 F16 F18:F19 F23:F24 F30:F31 F35 F37:F38">
    <cfRule type="expression" dxfId="1" priority="212" stopIfTrue="1">
      <formula>$D11="土"</formula>
    </cfRule>
  </conditionalFormatting>
  <conditionalFormatting sqref="E11:F41">
    <cfRule type="expression" dxfId="0" priority="213" stopIfTrue="1">
      <formula>$D11="日"</formula>
    </cfRule>
  </conditionalFormatting>
  <conditionalFormatting sqref="E11:F41">
    <cfRule type="expression" dxfId="1" priority="214" stopIfTrue="1">
      <formula>$D11="土"</formula>
    </cfRule>
  </conditionalFormatting>
  <conditionalFormatting sqref="E11:F41">
    <cfRule type="expression" dxfId="0" priority="215" stopIfTrue="1">
      <formula>$D11="日"</formula>
    </cfRule>
  </conditionalFormatting>
  <conditionalFormatting sqref="E11:F41">
    <cfRule type="expression" dxfId="1" priority="216" stopIfTrue="1">
      <formula>$D11="土"</formula>
    </cfRule>
  </conditionalFormatting>
  <conditionalFormatting sqref="E11:F41">
    <cfRule type="expression" dxfId="0" priority="217" stopIfTrue="1">
      <formula>$D11="日"</formula>
    </cfRule>
  </conditionalFormatting>
  <conditionalFormatting sqref="E11:F41">
    <cfRule type="expression" dxfId="1" priority="218" stopIfTrue="1">
      <formula>$D11="土"</formula>
    </cfRule>
  </conditionalFormatting>
  <conditionalFormatting sqref="E11:F41">
    <cfRule type="expression" dxfId="0" priority="219" stopIfTrue="1">
      <formula>$D11="日"</formula>
    </cfRule>
  </conditionalFormatting>
  <conditionalFormatting sqref="E11:F41">
    <cfRule type="expression" dxfId="1" priority="220" stopIfTrue="1">
      <formula>$D11="土"</formula>
    </cfRule>
  </conditionalFormatting>
  <conditionalFormatting sqref="E11:F41">
    <cfRule type="expression" dxfId="0" priority="221" stopIfTrue="1">
      <formula>$D11="日"</formula>
    </cfRule>
  </conditionalFormatting>
  <conditionalFormatting sqref="E11:F41">
    <cfRule type="expression" dxfId="1" priority="222" stopIfTrue="1">
      <formula>$D11="土"</formula>
    </cfRule>
  </conditionalFormatting>
  <conditionalFormatting sqref="E11:F41">
    <cfRule type="expression" dxfId="0" priority="223" stopIfTrue="1">
      <formula>$D11="日"</formula>
    </cfRule>
  </conditionalFormatting>
  <conditionalFormatting sqref="E11:F41">
    <cfRule type="expression" dxfId="1" priority="224" stopIfTrue="1">
      <formula>$D11="土"</formula>
    </cfRule>
  </conditionalFormatting>
  <conditionalFormatting sqref="E11:F41">
    <cfRule type="expression" dxfId="0" priority="225" stopIfTrue="1">
      <formula>$D11="日"</formula>
    </cfRule>
  </conditionalFormatting>
  <conditionalFormatting sqref="E11:F41">
    <cfRule type="expression" dxfId="1" priority="226" stopIfTrue="1">
      <formula>$D11="土"</formula>
    </cfRule>
  </conditionalFormatting>
  <conditionalFormatting sqref="E11:F41">
    <cfRule type="expression" dxfId="0" priority="227" stopIfTrue="1">
      <formula>$D11="日"</formula>
    </cfRule>
  </conditionalFormatting>
  <conditionalFormatting sqref="E11:F41">
    <cfRule type="expression" dxfId="1" priority="228" stopIfTrue="1">
      <formula>$D11="土"</formula>
    </cfRule>
  </conditionalFormatting>
  <conditionalFormatting sqref="E11:F41">
    <cfRule type="expression" dxfId="0" priority="229" stopIfTrue="1">
      <formula>$D11="日"</formula>
    </cfRule>
  </conditionalFormatting>
  <conditionalFormatting sqref="E11:F41">
    <cfRule type="expression" dxfId="1" priority="230" stopIfTrue="1">
      <formula>$D11="土"</formula>
    </cfRule>
  </conditionalFormatting>
  <conditionalFormatting sqref="E11:F41">
    <cfRule type="expression" dxfId="0" priority="231" stopIfTrue="1">
      <formula>$D11="日"</formula>
    </cfRule>
  </conditionalFormatting>
  <conditionalFormatting sqref="E11:F41">
    <cfRule type="expression" dxfId="1" priority="232" stopIfTrue="1">
      <formula>$D11="土"</formula>
    </cfRule>
  </conditionalFormatting>
  <conditionalFormatting sqref="E11:F41">
    <cfRule type="expression" dxfId="0" priority="233" stopIfTrue="1">
      <formula>$D11="日"</formula>
    </cfRule>
  </conditionalFormatting>
  <conditionalFormatting sqref="E11:F41">
    <cfRule type="expression" dxfId="1" priority="234" stopIfTrue="1">
      <formula>$D11="土"</formula>
    </cfRule>
  </conditionalFormatting>
  <conditionalFormatting sqref="E11:F41">
    <cfRule type="expression" dxfId="0" priority="235" stopIfTrue="1">
      <formula>$D11="日"</formula>
    </cfRule>
  </conditionalFormatting>
  <conditionalFormatting sqref="E11:F41">
    <cfRule type="expression" dxfId="1" priority="236" stopIfTrue="1">
      <formula>$D11="土"</formula>
    </cfRule>
  </conditionalFormatting>
  <conditionalFormatting sqref="E11:E40 F16 F18:F19 F23:F24 F30:F31 F35:F39">
    <cfRule type="expression" dxfId="0" priority="237" stopIfTrue="1">
      <formula>$D11="日"</formula>
    </cfRule>
  </conditionalFormatting>
  <conditionalFormatting sqref="E11:E40 F16 F18:F19 F23:F24 F30:F31 F35:F39">
    <cfRule type="expression" dxfId="1" priority="238" stopIfTrue="1">
      <formula>$D11="土"</formula>
    </cfRule>
  </conditionalFormatting>
  <conditionalFormatting sqref="E11:F41">
    <cfRule type="expression" dxfId="0" priority="239" stopIfTrue="1">
      <formula>$D11="日"</formula>
    </cfRule>
  </conditionalFormatting>
  <conditionalFormatting sqref="E11:F41">
    <cfRule type="expression" dxfId="1" priority="240" stopIfTrue="1">
      <formula>$D11="土"</formula>
    </cfRule>
  </conditionalFormatting>
  <conditionalFormatting sqref="E11:G41">
    <cfRule type="expression" dxfId="0" priority="241" stopIfTrue="1">
      <formula>$D11="日"</formula>
    </cfRule>
  </conditionalFormatting>
  <conditionalFormatting sqref="E11:G41">
    <cfRule type="expression" dxfId="1" priority="242" stopIfTrue="1">
      <formula>$D11="土"</formula>
    </cfRule>
  </conditionalFormatting>
  <conditionalFormatting sqref="E11:G41">
    <cfRule type="expression" dxfId="0" priority="243" stopIfTrue="1">
      <formula>$D11="日"</formula>
    </cfRule>
  </conditionalFormatting>
  <conditionalFormatting sqref="E11:G41">
    <cfRule type="expression" dxfId="1" priority="244" stopIfTrue="1">
      <formula>$D11="土"</formula>
    </cfRule>
  </conditionalFormatting>
  <conditionalFormatting sqref="E11:G41">
    <cfRule type="expression" dxfId="0" priority="245" stopIfTrue="1">
      <formula>$D11="日"</formula>
    </cfRule>
  </conditionalFormatting>
  <conditionalFormatting sqref="E11:G41">
    <cfRule type="expression" dxfId="1" priority="246" stopIfTrue="1">
      <formula>$D11="土"</formula>
    </cfRule>
  </conditionalFormatting>
  <conditionalFormatting sqref="E11:G41">
    <cfRule type="expression" dxfId="0" priority="247" stopIfTrue="1">
      <formula>$D11="日"</formula>
    </cfRule>
  </conditionalFormatting>
  <conditionalFormatting sqref="E11:G41">
    <cfRule type="expression" dxfId="1" priority="248" stopIfTrue="1">
      <formula>$D11="土"</formula>
    </cfRule>
  </conditionalFormatting>
  <conditionalFormatting sqref="E11:G41">
    <cfRule type="expression" dxfId="0" priority="249" stopIfTrue="1">
      <formula>$D11="日"</formula>
    </cfRule>
  </conditionalFormatting>
  <conditionalFormatting sqref="E11:G41">
    <cfRule type="expression" dxfId="1" priority="250" stopIfTrue="1">
      <formula>$D11="土"</formula>
    </cfRule>
  </conditionalFormatting>
  <conditionalFormatting sqref="E11:E40 F16 F18:F19 F23:F24 F30:F31 F35 F37:F38 F40:F41 G40">
    <cfRule type="expression" dxfId="0" priority="251" stopIfTrue="1">
      <formula>$D11="日"</formula>
    </cfRule>
  </conditionalFormatting>
  <conditionalFormatting sqref="E11:E40 F16 F18:F19 F23:F24 F30:F31 F35 F37:F38 F40:F41 G40">
    <cfRule type="expression" dxfId="1" priority="252" stopIfTrue="1">
      <formula>$D11="土"</formula>
    </cfRule>
  </conditionalFormatting>
  <conditionalFormatting sqref="E11:H41">
    <cfRule type="expression" dxfId="0" priority="253" stopIfTrue="1">
      <formula>$D11="日"</formula>
    </cfRule>
  </conditionalFormatting>
  <conditionalFormatting sqref="E11:H41">
    <cfRule type="expression" dxfId="1" priority="254" stopIfTrue="1">
      <formula>$D11="土"</formula>
    </cfRule>
  </conditionalFormatting>
  <conditionalFormatting sqref="E11:G41 H11:H40">
    <cfRule type="expression" dxfId="0" priority="255" stopIfTrue="1">
      <formula>$D11="日"</formula>
    </cfRule>
  </conditionalFormatting>
  <conditionalFormatting sqref="E11:G41 H11:H40">
    <cfRule type="expression" dxfId="1" priority="256" stopIfTrue="1">
      <formula>$D11="土"</formula>
    </cfRule>
  </conditionalFormatting>
  <conditionalFormatting sqref="E11:E15 F11:F22 G11:H13 G15:H15 E17:E22 G18:H20 G22:H22 E25:E29 F25:F30 G25:H27 G29:H29 E31:E40 F32:F37 G32:H34 G36:H36 F39:F41 G39:H39">
    <cfRule type="expression" dxfId="0" priority="257" stopIfTrue="1">
      <formula>$D11="日"</formula>
    </cfRule>
  </conditionalFormatting>
  <conditionalFormatting sqref="E11:E15 F11:F22 G11:H13 G15:H15 E17:E22 G18:H20 G22:H22 E25:E29 F25:F30 G25:H27 G29:H29 E31:E40 F32:F37 G32:H34 G36:H36 F39:F41 G39:H39">
    <cfRule type="expression" dxfId="1" priority="258" stopIfTrue="1">
      <formula>$D11="土"</formula>
    </cfRule>
  </conditionalFormatting>
  <conditionalFormatting sqref="E11:G41 H11:H40">
    <cfRule type="expression" dxfId="0" priority="259" stopIfTrue="1">
      <formula>$D11="日"</formula>
    </cfRule>
  </conditionalFormatting>
  <conditionalFormatting sqref="E11:G41 H11:H40">
    <cfRule type="expression" dxfId="1" priority="260" stopIfTrue="1">
      <formula>$D11="土"</formula>
    </cfRule>
  </conditionalFormatting>
  <conditionalFormatting sqref="E11:H41">
    <cfRule type="expression" dxfId="0" priority="261" stopIfTrue="1">
      <formula>$D11="日"</formula>
    </cfRule>
  </conditionalFormatting>
  <conditionalFormatting sqref="E11:H41">
    <cfRule type="expression" dxfId="1" priority="262" stopIfTrue="1">
      <formula>$D11="土"</formula>
    </cfRule>
  </conditionalFormatting>
  <conditionalFormatting sqref="E11:I41">
    <cfRule type="expression" dxfId="0" priority="263" stopIfTrue="1">
      <formula>$D11="日"</formula>
    </cfRule>
  </conditionalFormatting>
  <conditionalFormatting sqref="E11:I41">
    <cfRule type="expression" dxfId="1" priority="264" stopIfTrue="1">
      <formula>$D11="土"</formula>
    </cfRule>
  </conditionalFormatting>
  <conditionalFormatting sqref="E11:I41">
    <cfRule type="expression" dxfId="0" priority="265" stopIfTrue="1">
      <formula>$D11="日"</formula>
    </cfRule>
  </conditionalFormatting>
  <conditionalFormatting sqref="E11:I41">
    <cfRule type="expression" dxfId="1" priority="266" stopIfTrue="1">
      <formula>$D11="土"</formula>
    </cfRule>
  </conditionalFormatting>
  <conditionalFormatting sqref="E11:I41">
    <cfRule type="expression" dxfId="0" priority="267" stopIfTrue="1">
      <formula>$D11="日"</formula>
    </cfRule>
  </conditionalFormatting>
  <conditionalFormatting sqref="E11:I41">
    <cfRule type="expression" dxfId="1" priority="268" stopIfTrue="1">
      <formula>$D11="土"</formula>
    </cfRule>
  </conditionalFormatting>
  <conditionalFormatting sqref="E11:E40 G11:G41 I11:I41 F16 H16 F18:F19 F23:F24 H23 F30:F33 H30 H32 F35:F41 H37 H39">
    <cfRule type="expression" dxfId="0" priority="269" stopIfTrue="1">
      <formula>$D11="日"</formula>
    </cfRule>
  </conditionalFormatting>
  <conditionalFormatting sqref="E11:E40 G11:G41 I11:I41 F16 H16 F18:F19 F23:F24 H23 F30:F33 H30 H32 F35:F41 H37 H39">
    <cfRule type="expression" dxfId="1" priority="270" stopIfTrue="1">
      <formula>$D11="土"</formula>
    </cfRule>
  </conditionalFormatting>
  <conditionalFormatting sqref="E11:I41">
    <cfRule type="expression" dxfId="0" priority="271" stopIfTrue="1">
      <formula>$D11="日"</formula>
    </cfRule>
  </conditionalFormatting>
  <conditionalFormatting sqref="E11:I41">
    <cfRule type="expression" dxfId="1" priority="272" stopIfTrue="1">
      <formula>$D11="土"</formula>
    </cfRule>
  </conditionalFormatting>
  <conditionalFormatting sqref="E11:E40 G11:G41 I11:I41 F16 H16 F18:F19 F23:F24 H23 F30:F31 H30 F35:F39 H37 H39">
    <cfRule type="expression" dxfId="0" priority="273" stopIfTrue="1">
      <formula>$D11="日"</formula>
    </cfRule>
  </conditionalFormatting>
  <conditionalFormatting sqref="E11:E40 G11:G41 I11:I41 F16 H16 F18:F19 F23:F24 H23 F30:F31 H30 F35:F39 H37 H39">
    <cfRule type="expression" dxfId="1" priority="274" stopIfTrue="1">
      <formula>$D11="土"</formula>
    </cfRule>
  </conditionalFormatting>
  <conditionalFormatting sqref="E11:I41">
    <cfRule type="expression" dxfId="0" priority="275" stopIfTrue="1">
      <formula>$D11="日"</formula>
    </cfRule>
  </conditionalFormatting>
  <conditionalFormatting sqref="E11:I41">
    <cfRule type="expression" dxfId="1" priority="276" stopIfTrue="1">
      <formula>$D11="土"</formula>
    </cfRule>
  </conditionalFormatting>
  <conditionalFormatting sqref="F11:F41">
    <cfRule type="expression" dxfId="0" priority="277" stopIfTrue="1">
      <formula>$D11="日"</formula>
    </cfRule>
  </conditionalFormatting>
  <conditionalFormatting sqref="F11:F41">
    <cfRule type="expression" dxfId="1" priority="278" stopIfTrue="1">
      <formula>$D11="土"</formula>
    </cfRule>
  </conditionalFormatting>
  <conditionalFormatting sqref="F11:F41">
    <cfRule type="expression" dxfId="0" priority="279" stopIfTrue="1">
      <formula>$D11="日"</formula>
    </cfRule>
  </conditionalFormatting>
  <conditionalFormatting sqref="F11:F41">
    <cfRule type="expression" dxfId="1" priority="280" stopIfTrue="1">
      <formula>$D11="土"</formula>
    </cfRule>
  </conditionalFormatting>
  <conditionalFormatting sqref="F11:F41">
    <cfRule type="expression" dxfId="0" priority="281" stopIfTrue="1">
      <formula>$D11="日"</formula>
    </cfRule>
  </conditionalFormatting>
  <conditionalFormatting sqref="F11:F41">
    <cfRule type="expression" dxfId="1" priority="282" stopIfTrue="1">
      <formula>$D11="土"</formula>
    </cfRule>
  </conditionalFormatting>
  <conditionalFormatting sqref="F11:F41">
    <cfRule type="expression" dxfId="0" priority="283" stopIfTrue="1">
      <formula>$D11="日"</formula>
    </cfRule>
  </conditionalFormatting>
  <conditionalFormatting sqref="F11:F41">
    <cfRule type="expression" dxfId="1" priority="284" stopIfTrue="1">
      <formula>$D11="土"</formula>
    </cfRule>
  </conditionalFormatting>
  <conditionalFormatting sqref="F11:F41">
    <cfRule type="expression" dxfId="0" priority="285" stopIfTrue="1">
      <formula>$D11="日"</formula>
    </cfRule>
  </conditionalFormatting>
  <conditionalFormatting sqref="F11:F41">
    <cfRule type="expression" dxfId="1" priority="286" stopIfTrue="1">
      <formula>$D11="土"</formula>
    </cfRule>
  </conditionalFormatting>
  <conditionalFormatting sqref="F11:F41">
    <cfRule type="expression" dxfId="0" priority="287" stopIfTrue="1">
      <formula>$D11="日"</formula>
    </cfRule>
  </conditionalFormatting>
  <conditionalFormatting sqref="F11:F41">
    <cfRule type="expression" dxfId="1" priority="288" stopIfTrue="1">
      <formula>$D11="土"</formula>
    </cfRule>
  </conditionalFormatting>
  <conditionalFormatting sqref="F11:F41">
    <cfRule type="expression" dxfId="0" priority="289" stopIfTrue="1">
      <formula>$D11="日"</formula>
    </cfRule>
  </conditionalFormatting>
  <conditionalFormatting sqref="F11:F41">
    <cfRule type="expression" dxfId="1" priority="290" stopIfTrue="1">
      <formula>$D11="土"</formula>
    </cfRule>
  </conditionalFormatting>
  <conditionalFormatting sqref="F11:G41">
    <cfRule type="expression" dxfId="0" priority="291" stopIfTrue="1">
      <formula>$D11="日"</formula>
    </cfRule>
  </conditionalFormatting>
  <conditionalFormatting sqref="F11:F41">
    <cfRule type="expression" dxfId="0" priority="292" stopIfTrue="1">
      <formula>$D11="日"</formula>
    </cfRule>
  </conditionalFormatting>
  <conditionalFormatting sqref="F11:F41">
    <cfRule type="expression" dxfId="1" priority="293" stopIfTrue="1">
      <formula>$D11="土"</formula>
    </cfRule>
  </conditionalFormatting>
  <conditionalFormatting sqref="F11:F41">
    <cfRule type="expression" dxfId="0" priority="294" stopIfTrue="1">
      <formula>$D11="日"</formula>
    </cfRule>
  </conditionalFormatting>
  <conditionalFormatting sqref="F11:F41">
    <cfRule type="expression" dxfId="1" priority="295" stopIfTrue="1">
      <formula>$D11="土"</formula>
    </cfRule>
  </conditionalFormatting>
  <conditionalFormatting sqref="F11:F41">
    <cfRule type="expression" dxfId="0" priority="296" stopIfTrue="1">
      <formula>$D11="日"</formula>
    </cfRule>
  </conditionalFormatting>
  <conditionalFormatting sqref="F11:F41">
    <cfRule type="expression" dxfId="1" priority="297" stopIfTrue="1">
      <formula>$D11="土"</formula>
    </cfRule>
  </conditionalFormatting>
  <conditionalFormatting sqref="F11:F41">
    <cfRule type="expression" dxfId="0" priority="298" stopIfTrue="1">
      <formula>$D11="日"</formula>
    </cfRule>
  </conditionalFormatting>
  <conditionalFormatting sqref="F11:F41">
    <cfRule type="expression" dxfId="1" priority="299" stopIfTrue="1">
      <formula>$D11="土"</formula>
    </cfRule>
  </conditionalFormatting>
  <conditionalFormatting sqref="F11:F41">
    <cfRule type="expression" dxfId="0" priority="300" stopIfTrue="1">
      <formula>$D11="日"</formula>
    </cfRule>
  </conditionalFormatting>
  <conditionalFormatting sqref="F11:F41">
    <cfRule type="expression" dxfId="1" priority="301" stopIfTrue="1">
      <formula>$D11="土"</formula>
    </cfRule>
  </conditionalFormatting>
  <conditionalFormatting sqref="F11:F41">
    <cfRule type="expression" dxfId="0" priority="302" stopIfTrue="1">
      <formula>$D11="日"</formula>
    </cfRule>
  </conditionalFormatting>
  <conditionalFormatting sqref="F11:F41">
    <cfRule type="expression" dxfId="1" priority="303" stopIfTrue="1">
      <formula>$D11="土"</formula>
    </cfRule>
  </conditionalFormatting>
  <conditionalFormatting sqref="F11:F41">
    <cfRule type="expression" dxfId="0" priority="304" stopIfTrue="1">
      <formula>$D11="日"</formula>
    </cfRule>
  </conditionalFormatting>
  <conditionalFormatting sqref="F11:F41">
    <cfRule type="expression" dxfId="1" priority="305" stopIfTrue="1">
      <formula>$D11="土"</formula>
    </cfRule>
  </conditionalFormatting>
  <conditionalFormatting sqref="F11:F41">
    <cfRule type="expression" dxfId="0" priority="306" stopIfTrue="1">
      <formula>$D11="日"</formula>
    </cfRule>
  </conditionalFormatting>
  <conditionalFormatting sqref="F11:F41">
    <cfRule type="expression" dxfId="1" priority="307" stopIfTrue="1">
      <formula>$D11="土"</formula>
    </cfRule>
  </conditionalFormatting>
  <conditionalFormatting sqref="F11:F41">
    <cfRule type="expression" dxfId="0" priority="308" stopIfTrue="1">
      <formula>$D11="日"</formula>
    </cfRule>
  </conditionalFormatting>
  <conditionalFormatting sqref="F11:F41">
    <cfRule type="expression" dxfId="1" priority="309" stopIfTrue="1">
      <formula>$D11="土"</formula>
    </cfRule>
  </conditionalFormatting>
  <conditionalFormatting sqref="F11:F41">
    <cfRule type="expression" dxfId="0" priority="310" stopIfTrue="1">
      <formula>$D11="日"</formula>
    </cfRule>
  </conditionalFormatting>
  <conditionalFormatting sqref="F11:F41">
    <cfRule type="expression" dxfId="1" priority="311" stopIfTrue="1">
      <formula>$D11="土"</formula>
    </cfRule>
  </conditionalFormatting>
  <conditionalFormatting sqref="F11:G41">
    <cfRule type="expression" dxfId="0" priority="312" stopIfTrue="1">
      <formula>$D11="日"</formula>
    </cfRule>
  </conditionalFormatting>
  <conditionalFormatting sqref="F11:G41">
    <cfRule type="expression" dxfId="1" priority="313" stopIfTrue="1">
      <formula>$D11="土"</formula>
    </cfRule>
  </conditionalFormatting>
  <conditionalFormatting sqref="F11:F41">
    <cfRule type="expression" dxfId="0" priority="314" stopIfTrue="1">
      <formula>$D11="日"</formula>
    </cfRule>
  </conditionalFormatting>
  <conditionalFormatting sqref="F11:F41">
    <cfRule type="expression" dxfId="1" priority="315" stopIfTrue="1">
      <formula>$D11="土"</formula>
    </cfRule>
  </conditionalFormatting>
  <conditionalFormatting sqref="F11:F41">
    <cfRule type="expression" dxfId="0" priority="316" stopIfTrue="1">
      <formula>$D11="日"</formula>
    </cfRule>
  </conditionalFormatting>
  <conditionalFormatting sqref="F11:F41">
    <cfRule type="expression" dxfId="1" priority="317" stopIfTrue="1">
      <formula>$D11="土"</formula>
    </cfRule>
  </conditionalFormatting>
  <conditionalFormatting sqref="F16 F18:F19 F23:F24 F30:F33 F35:F41">
    <cfRule type="expression" dxfId="0" priority="318" stopIfTrue="1">
      <formula>$D16="日"</formula>
    </cfRule>
  </conditionalFormatting>
  <conditionalFormatting sqref="F16 F18:F19 F23:F24 F30:F33 F35:F41">
    <cfRule type="expression" dxfId="1" priority="319" stopIfTrue="1">
      <formula>$D16="土"</formula>
    </cfRule>
  </conditionalFormatting>
  <conditionalFormatting sqref="F16 F18:F19 F23:F24 F30:F33 F35:F41">
    <cfRule type="expression" dxfId="0" priority="320" stopIfTrue="1">
      <formula>$D16="日"</formula>
    </cfRule>
  </conditionalFormatting>
  <conditionalFormatting sqref="F16 F18:F19 F23:F24 F30:F33 F35:F41">
    <cfRule type="expression" dxfId="1" priority="321" stopIfTrue="1">
      <formula>$D16="土"</formula>
    </cfRule>
  </conditionalFormatting>
  <conditionalFormatting sqref="F11:F41">
    <cfRule type="expression" dxfId="0" priority="322" stopIfTrue="1">
      <formula>$D11="日"</formula>
    </cfRule>
  </conditionalFormatting>
  <conditionalFormatting sqref="F11:F41">
    <cfRule type="expression" dxfId="1" priority="323" stopIfTrue="1">
      <formula>$D11="土"</formula>
    </cfRule>
  </conditionalFormatting>
  <conditionalFormatting sqref="F11:F41">
    <cfRule type="expression" dxfId="0" priority="324" stopIfTrue="1">
      <formula>$D11="日"</formula>
    </cfRule>
  </conditionalFormatting>
  <conditionalFormatting sqref="F11:F41">
    <cfRule type="expression" dxfId="1" priority="325" stopIfTrue="1">
      <formula>$D11="土"</formula>
    </cfRule>
  </conditionalFormatting>
  <conditionalFormatting sqref="F11:F41">
    <cfRule type="expression" dxfId="0" priority="326" stopIfTrue="1">
      <formula>$D11="日"</formula>
    </cfRule>
  </conditionalFormatting>
  <conditionalFormatting sqref="F11:F41">
    <cfRule type="expression" dxfId="1" priority="327" stopIfTrue="1">
      <formula>$D11="土"</formula>
    </cfRule>
  </conditionalFormatting>
  <conditionalFormatting sqref="F11:F41">
    <cfRule type="expression" dxfId="0" priority="328" stopIfTrue="1">
      <formula>$D11="日"</formula>
    </cfRule>
  </conditionalFormatting>
  <conditionalFormatting sqref="F11:F41">
    <cfRule type="expression" dxfId="1" priority="329" stopIfTrue="1">
      <formula>$D11="土"</formula>
    </cfRule>
  </conditionalFormatting>
  <conditionalFormatting sqref="F11:F41">
    <cfRule type="expression" dxfId="0" priority="330" stopIfTrue="1">
      <formula>$D11="日"</formula>
    </cfRule>
  </conditionalFormatting>
  <conditionalFormatting sqref="F11:F41">
    <cfRule type="expression" dxfId="1" priority="331" stopIfTrue="1">
      <formula>$D11="土"</formula>
    </cfRule>
  </conditionalFormatting>
  <conditionalFormatting sqref="F11:F41 G35:G37">
    <cfRule type="expression" dxfId="0" priority="332" stopIfTrue="1">
      <formula>$D11="日"</formula>
    </cfRule>
  </conditionalFormatting>
  <conditionalFormatting sqref="F11:F41 G35:G37">
    <cfRule type="expression" dxfId="1" priority="333" stopIfTrue="1">
      <formula>$D11="土"</formula>
    </cfRule>
  </conditionalFormatting>
  <conditionalFormatting sqref="F11:F41">
    <cfRule type="expression" dxfId="0" priority="334" stopIfTrue="1">
      <formula>$D11="日"</formula>
    </cfRule>
  </conditionalFormatting>
  <conditionalFormatting sqref="F11:F41">
    <cfRule type="expression" dxfId="1" priority="335" stopIfTrue="1">
      <formula>$D11="土"</formula>
    </cfRule>
  </conditionalFormatting>
  <conditionalFormatting sqref="F11:F41">
    <cfRule type="expression" dxfId="0" priority="336" stopIfTrue="1">
      <formula>$D11="日"</formula>
    </cfRule>
  </conditionalFormatting>
  <conditionalFormatting sqref="F11:F41">
    <cfRule type="expression" dxfId="1" priority="337" stopIfTrue="1">
      <formula>$D11="土"</formula>
    </cfRule>
  </conditionalFormatting>
  <conditionalFormatting sqref="F16 F18:F19 F23:F24 F30:F31 F35:F39">
    <cfRule type="expression" dxfId="0" priority="338" stopIfTrue="1">
      <formula>$D16="日"</formula>
    </cfRule>
  </conditionalFormatting>
  <conditionalFormatting sqref="F16 F18:F19 F23:F24 F30:F31 F35:F39">
    <cfRule type="expression" dxfId="1" priority="339" stopIfTrue="1">
      <formula>$D16="土"</formula>
    </cfRule>
  </conditionalFormatting>
  <conditionalFormatting sqref="F16 F18:F19 F23:F24 F30:F31 F35:F39">
    <cfRule type="expression" dxfId="0" priority="340" stopIfTrue="1">
      <formula>$D16="日"</formula>
    </cfRule>
  </conditionalFormatting>
  <conditionalFormatting sqref="F16 F18:F19 F23:F24 F30:F31 F35:F39">
    <cfRule type="expression" dxfId="1" priority="341" stopIfTrue="1">
      <formula>$D16="土"</formula>
    </cfRule>
  </conditionalFormatting>
  <conditionalFormatting sqref="F16 F18:F19 F23:F24 F30:F31 F35:F39">
    <cfRule type="expression" dxfId="0" priority="342" stopIfTrue="1">
      <formula>$D16="日"</formula>
    </cfRule>
  </conditionalFormatting>
  <conditionalFormatting sqref="F16 F18:F19 F23:F24 F30:F31 F35:F39">
    <cfRule type="expression" dxfId="1" priority="343" stopIfTrue="1">
      <formula>$D16="土"</formula>
    </cfRule>
  </conditionalFormatting>
  <conditionalFormatting sqref="F11:G41">
    <cfRule type="expression" dxfId="0" priority="344" stopIfTrue="1">
      <formula>$D11="日"</formula>
    </cfRule>
  </conditionalFormatting>
  <conditionalFormatting sqref="F11:G41">
    <cfRule type="expression" dxfId="1" priority="345" stopIfTrue="1">
      <formula>$D11="土"</formula>
    </cfRule>
  </conditionalFormatting>
  <conditionalFormatting sqref="F11:G41">
    <cfRule type="expression" dxfId="0" priority="346" stopIfTrue="1">
      <formula>$D11="日"</formula>
    </cfRule>
  </conditionalFormatting>
  <conditionalFormatting sqref="F11:G41">
    <cfRule type="expression" dxfId="1" priority="347" stopIfTrue="1">
      <formula>$D11="土"</formula>
    </cfRule>
  </conditionalFormatting>
  <conditionalFormatting sqref="F11:G41">
    <cfRule type="expression" dxfId="1" priority="348" stopIfTrue="1">
      <formula>$D11="土"</formula>
    </cfRule>
  </conditionalFormatting>
  <conditionalFormatting sqref="F11:G41">
    <cfRule type="expression" dxfId="0" priority="349" stopIfTrue="1">
      <formula>$D11="日"</formula>
    </cfRule>
  </conditionalFormatting>
  <conditionalFormatting sqref="F11:G41">
    <cfRule type="expression" dxfId="1" priority="350" stopIfTrue="1">
      <formula>$D11="土"</formula>
    </cfRule>
  </conditionalFormatting>
  <conditionalFormatting sqref="G11:G41">
    <cfRule type="expression" dxfId="0" priority="351" stopIfTrue="1">
      <formula>$D11="日"</formula>
    </cfRule>
  </conditionalFormatting>
  <conditionalFormatting sqref="G11:G41">
    <cfRule type="expression" dxfId="1" priority="352" stopIfTrue="1">
      <formula>$D11="土"</formula>
    </cfRule>
  </conditionalFormatting>
  <conditionalFormatting sqref="G11:G41">
    <cfRule type="expression" dxfId="0" priority="353" stopIfTrue="1">
      <formula>$D11="日"</formula>
    </cfRule>
  </conditionalFormatting>
  <conditionalFormatting sqref="G11:G41">
    <cfRule type="expression" dxfId="1" priority="354" stopIfTrue="1">
      <formula>$D11="土"</formula>
    </cfRule>
  </conditionalFormatting>
  <conditionalFormatting sqref="G11:G41">
    <cfRule type="expression" dxfId="0" priority="355" stopIfTrue="1">
      <formula>$D11="日"</formula>
    </cfRule>
  </conditionalFormatting>
  <conditionalFormatting sqref="G11:G41">
    <cfRule type="expression" dxfId="1" priority="356" stopIfTrue="1">
      <formula>$D11="土"</formula>
    </cfRule>
  </conditionalFormatting>
  <conditionalFormatting sqref="G11:G41">
    <cfRule type="expression" dxfId="0" priority="357" stopIfTrue="1">
      <formula>$D11="日"</formula>
    </cfRule>
  </conditionalFormatting>
  <conditionalFormatting sqref="G11:G41">
    <cfRule type="expression" dxfId="1" priority="358" stopIfTrue="1">
      <formula>$D11="土"</formula>
    </cfRule>
  </conditionalFormatting>
  <conditionalFormatting sqref="G11:G41">
    <cfRule type="expression" dxfId="0" priority="359" stopIfTrue="1">
      <formula>$D11="日"</formula>
    </cfRule>
  </conditionalFormatting>
  <conditionalFormatting sqref="G11:G41">
    <cfRule type="expression" dxfId="1" priority="360" stopIfTrue="1">
      <formula>$D11="土"</formula>
    </cfRule>
  </conditionalFormatting>
  <conditionalFormatting sqref="G11:G41">
    <cfRule type="expression" dxfId="0" priority="361" stopIfTrue="1">
      <formula>$D11="日"</formula>
    </cfRule>
  </conditionalFormatting>
  <conditionalFormatting sqref="G11:G41">
    <cfRule type="expression" dxfId="1" priority="362" stopIfTrue="1">
      <formula>$D11="土"</formula>
    </cfRule>
  </conditionalFormatting>
  <conditionalFormatting sqref="G11:G41">
    <cfRule type="expression" dxfId="0" priority="363" stopIfTrue="1">
      <formula>$D11="日"</formula>
    </cfRule>
  </conditionalFormatting>
  <conditionalFormatting sqref="G11:G41">
    <cfRule type="expression" dxfId="1" priority="364" stopIfTrue="1">
      <formula>$D11="土"</formula>
    </cfRule>
  </conditionalFormatting>
  <conditionalFormatting sqref="G11:G41">
    <cfRule type="expression" dxfId="0" priority="365" stopIfTrue="1">
      <formula>$D11="日"</formula>
    </cfRule>
  </conditionalFormatting>
  <conditionalFormatting sqref="G11:G41">
    <cfRule type="expression" dxfId="1" priority="366" stopIfTrue="1">
      <formula>$D11="土"</formula>
    </cfRule>
  </conditionalFormatting>
  <conditionalFormatting sqref="G11:G13 G15 G18:G20 G22 G25:G27 G29 G32:G34 G36 G39 G41">
    <cfRule type="expression" dxfId="0" priority="367" stopIfTrue="1">
      <formula>$D11="日"</formula>
    </cfRule>
  </conditionalFormatting>
  <conditionalFormatting sqref="G11:G13 G15 G18:G20 G22 G25:G27 G29 G32:G34 G36 G39 G41">
    <cfRule type="expression" dxfId="1" priority="368" stopIfTrue="1">
      <formula>$D11="土"</formula>
    </cfRule>
  </conditionalFormatting>
  <conditionalFormatting sqref="G11:G13 G15 G18:G20 G22 G25:G27 G29 G32:G34 G36 G39 G41">
    <cfRule type="expression" dxfId="0" priority="369" stopIfTrue="1">
      <formula>$D11="日"</formula>
    </cfRule>
  </conditionalFormatting>
  <conditionalFormatting sqref="G11:G13 G15 G18:G20 G22 G25:G27 G29 G32:G34 G36 G39 G41">
    <cfRule type="expression" dxfId="1" priority="370" stopIfTrue="1">
      <formula>$D11="土"</formula>
    </cfRule>
  </conditionalFormatting>
  <conditionalFormatting sqref="G11:G13 G15 G18:G20 G22 G25:G27 G29 G32:G34 G36 G39 G41">
    <cfRule type="expression" dxfId="0" priority="371" stopIfTrue="1">
      <formula>$D11="日"</formula>
    </cfRule>
  </conditionalFormatting>
  <conditionalFormatting sqref="G11:G13 G15 G18:G20 G22 G25:G27 G29 G32:G34 G36 G39 G41">
    <cfRule type="expression" dxfId="1" priority="372" stopIfTrue="1">
      <formula>$D11="土"</formula>
    </cfRule>
  </conditionalFormatting>
  <conditionalFormatting sqref="G11:G13 G15 G18:G20 G22 G25:G27 G29 G32:G34 G36 G39 G41">
    <cfRule type="expression" dxfId="0" priority="373" stopIfTrue="1">
      <formula>$D11="日"</formula>
    </cfRule>
  </conditionalFormatting>
  <conditionalFormatting sqref="G11:G13 G15 G18:G20 G22 G25:G27 G29 G32:G34 G36 G39 G41">
    <cfRule type="expression" dxfId="1" priority="374" stopIfTrue="1">
      <formula>$D11="土"</formula>
    </cfRule>
  </conditionalFormatting>
  <conditionalFormatting sqref="G11:G13 G15 G18:G20 G22 G25:G27 G29 G32:G34 G36 G39 G41">
    <cfRule type="expression" dxfId="0" priority="375" stopIfTrue="1">
      <formula>$D11="日"</formula>
    </cfRule>
  </conditionalFormatting>
  <conditionalFormatting sqref="G11:G13 G15 G18:G20 G22 G25:G27 G29 G32:G34 G36 G39 G41">
    <cfRule type="expression" dxfId="1" priority="376" stopIfTrue="1">
      <formula>$D11="土"</formula>
    </cfRule>
  </conditionalFormatting>
  <conditionalFormatting sqref="G11:G41">
    <cfRule type="expression" dxfId="0" priority="377" stopIfTrue="1">
      <formula>$D11="日"</formula>
    </cfRule>
  </conditionalFormatting>
  <conditionalFormatting sqref="G11:G41">
    <cfRule type="expression" dxfId="1" priority="378" stopIfTrue="1">
      <formula>$D11="土"</formula>
    </cfRule>
  </conditionalFormatting>
  <conditionalFormatting sqref="G11:G41">
    <cfRule type="expression" dxfId="0" priority="379" stopIfTrue="1">
      <formula>$D11="日"</formula>
    </cfRule>
  </conditionalFormatting>
  <conditionalFormatting sqref="G11:G41">
    <cfRule type="expression" dxfId="1" priority="380" stopIfTrue="1">
      <formula>$D11="土"</formula>
    </cfRule>
  </conditionalFormatting>
  <conditionalFormatting sqref="G11:G41">
    <cfRule type="expression" dxfId="0" priority="381" stopIfTrue="1">
      <formula>$D11="日"</formula>
    </cfRule>
  </conditionalFormatting>
  <conditionalFormatting sqref="G11:G41">
    <cfRule type="expression" dxfId="1" priority="382" stopIfTrue="1">
      <formula>$D11="土"</formula>
    </cfRule>
  </conditionalFormatting>
  <conditionalFormatting sqref="G11:G41">
    <cfRule type="expression" dxfId="0" priority="383" stopIfTrue="1">
      <formula>$D11="日"</formula>
    </cfRule>
  </conditionalFormatting>
  <conditionalFormatting sqref="G11:G41">
    <cfRule type="expression" dxfId="1" priority="384" stopIfTrue="1">
      <formula>$D11="土"</formula>
    </cfRule>
  </conditionalFormatting>
  <conditionalFormatting sqref="G11:G41">
    <cfRule type="expression" dxfId="0" priority="385" stopIfTrue="1">
      <formula>$D11="日"</formula>
    </cfRule>
  </conditionalFormatting>
  <conditionalFormatting sqref="G11:G41">
    <cfRule type="expression" dxfId="1" priority="386" stopIfTrue="1">
      <formula>$D11="土"</formula>
    </cfRule>
  </conditionalFormatting>
  <conditionalFormatting sqref="G40">
    <cfRule type="expression" dxfId="0" priority="387" stopIfTrue="1">
      <formula>$D40="日"</formula>
    </cfRule>
  </conditionalFormatting>
  <conditionalFormatting sqref="G40">
    <cfRule type="expression" dxfId="1" priority="388" stopIfTrue="1">
      <formula>$D40="土"</formula>
    </cfRule>
  </conditionalFormatting>
  <conditionalFormatting sqref="G40">
    <cfRule type="expression" dxfId="0" priority="389" stopIfTrue="1">
      <formula>$D40="日"</formula>
    </cfRule>
  </conditionalFormatting>
  <conditionalFormatting sqref="G40">
    <cfRule type="expression" dxfId="1" priority="390" stopIfTrue="1">
      <formula>$D40="土"</formula>
    </cfRule>
  </conditionalFormatting>
  <conditionalFormatting sqref="G11:H13 G15:H15 G18:H20 G22:H22 G25:H27 G29:H29 G32:H34 G36:H36 G39:H39 G41:H41">
    <cfRule type="expression" dxfId="0" priority="391" stopIfTrue="1">
      <formula>$D11="日"</formula>
    </cfRule>
  </conditionalFormatting>
  <conditionalFormatting sqref="G11:H13 G15:H15 G18:H20 G22:H22 G25:H27 G29:H29 G32:H34 G36:H36 G39:H39 G41:H41">
    <cfRule type="expression" dxfId="1" priority="392" stopIfTrue="1">
      <formula>$D11="土"</formula>
    </cfRule>
  </conditionalFormatting>
  <conditionalFormatting sqref="G11:H41">
    <cfRule type="expression" dxfId="0" priority="393" stopIfTrue="1">
      <formula>$D11="日"</formula>
    </cfRule>
  </conditionalFormatting>
  <conditionalFormatting sqref="G11:H41">
    <cfRule type="expression" dxfId="1" priority="394" stopIfTrue="1">
      <formula>$D11="土"</formula>
    </cfRule>
  </conditionalFormatting>
  <conditionalFormatting sqref="H42">
    <cfRule type="expression" dxfId="0" priority="395" stopIfTrue="1">
      <formula>$D42="日"</formula>
    </cfRule>
  </conditionalFormatting>
  <conditionalFormatting sqref="H42">
    <cfRule type="expression" dxfId="1" priority="396" stopIfTrue="1">
      <formula>$D42="土"</formula>
    </cfRule>
  </conditionalFormatting>
  <conditionalFormatting sqref="H11:I41">
    <cfRule type="expression" dxfId="0" priority="397" stopIfTrue="1">
      <formula>$D11="日"</formula>
    </cfRule>
  </conditionalFormatting>
  <conditionalFormatting sqref="H11:I41">
    <cfRule type="expression" dxfId="1" priority="398" stopIfTrue="1">
      <formula>$D11="土"</formula>
    </cfRule>
  </conditionalFormatting>
  <conditionalFormatting sqref="I11:I41">
    <cfRule type="expression" dxfId="0" priority="399" stopIfTrue="1">
      <formula>$D11="日"</formula>
    </cfRule>
  </conditionalFormatting>
  <conditionalFormatting sqref="I11:I41">
    <cfRule type="expression" dxfId="1" priority="400" stopIfTrue="1">
      <formula>$D11="土"</formula>
    </cfRule>
  </conditionalFormatting>
  <conditionalFormatting sqref="I11:I41">
    <cfRule type="expression" dxfId="0" priority="401" stopIfTrue="1">
      <formula>$D11="日"</formula>
    </cfRule>
  </conditionalFormatting>
  <conditionalFormatting sqref="I11:I41">
    <cfRule type="expression" dxfId="0" priority="402" stopIfTrue="1">
      <formula>$D11="日"</formula>
    </cfRule>
  </conditionalFormatting>
  <conditionalFormatting sqref="I11:I41">
    <cfRule type="expression" dxfId="1" priority="403" stopIfTrue="1">
      <formula>$D11="土"</formula>
    </cfRule>
  </conditionalFormatting>
  <conditionalFormatting sqref="I11:I41">
    <cfRule type="expression" dxfId="0" priority="404" stopIfTrue="1">
      <formula>$D11="日"</formula>
    </cfRule>
  </conditionalFormatting>
  <conditionalFormatting sqref="I11:I41">
    <cfRule type="expression" dxfId="1" priority="405" stopIfTrue="1">
      <formula>$D11="土"</formula>
    </cfRule>
  </conditionalFormatting>
  <conditionalFormatting sqref="I11:I41">
    <cfRule type="expression" dxfId="0" priority="406" stopIfTrue="1">
      <formula>$D11="日"</formula>
    </cfRule>
  </conditionalFormatting>
  <conditionalFormatting sqref="I11:I41">
    <cfRule type="expression" dxfId="1" priority="407" stopIfTrue="1">
      <formula>$D11="土"</formula>
    </cfRule>
  </conditionalFormatting>
  <conditionalFormatting sqref="I11:I41">
    <cfRule type="expression" dxfId="0" priority="408" stopIfTrue="1">
      <formula>$D11="日"</formula>
    </cfRule>
  </conditionalFormatting>
  <conditionalFormatting sqref="I11:I41">
    <cfRule type="expression" dxfId="1" priority="409" stopIfTrue="1">
      <formula>$D11="土"</formula>
    </cfRule>
  </conditionalFormatting>
  <conditionalFormatting sqref="I11:I41">
    <cfRule type="expression" dxfId="0" priority="410" stopIfTrue="1">
      <formula>$D11="日"</formula>
    </cfRule>
  </conditionalFormatting>
  <conditionalFormatting sqref="I11:I41">
    <cfRule type="expression" dxfId="1" priority="411" stopIfTrue="1">
      <formula>$D11="土"</formula>
    </cfRule>
  </conditionalFormatting>
  <conditionalFormatting sqref="I11:I41">
    <cfRule type="expression" dxfId="0" priority="412" stopIfTrue="1">
      <formula>$D11="日"</formula>
    </cfRule>
  </conditionalFormatting>
  <conditionalFormatting sqref="I11:I41">
    <cfRule type="expression" dxfId="1" priority="413" stopIfTrue="1">
      <formula>$D11="土"</formula>
    </cfRule>
  </conditionalFormatting>
  <conditionalFormatting sqref="I11:I41">
    <cfRule type="expression" dxfId="0" priority="414" stopIfTrue="1">
      <formula>$D11="日"</formula>
    </cfRule>
  </conditionalFormatting>
  <conditionalFormatting sqref="I11:I41">
    <cfRule type="expression" dxfId="1" priority="415" stopIfTrue="1">
      <formula>$D11="土"</formula>
    </cfRule>
  </conditionalFormatting>
  <conditionalFormatting sqref="I11:I41">
    <cfRule type="expression" dxfId="0" priority="416" stopIfTrue="1">
      <formula>$D11="日"</formula>
    </cfRule>
  </conditionalFormatting>
  <conditionalFormatting sqref="I11:I41">
    <cfRule type="expression" dxfId="1" priority="417" stopIfTrue="1">
      <formula>$D11="土"</formula>
    </cfRule>
  </conditionalFormatting>
  <conditionalFormatting sqref="I11:I41">
    <cfRule type="expression" dxfId="0" priority="418" stopIfTrue="1">
      <formula>$D11="日"</formula>
    </cfRule>
  </conditionalFormatting>
  <conditionalFormatting sqref="I11:I41">
    <cfRule type="expression" dxfId="1" priority="419" stopIfTrue="1">
      <formula>$D11="土"</formula>
    </cfRule>
  </conditionalFormatting>
  <conditionalFormatting sqref="I11:I41">
    <cfRule type="expression" dxfId="0" priority="420" stopIfTrue="1">
      <formula>$D11="日"</formula>
    </cfRule>
  </conditionalFormatting>
  <conditionalFormatting sqref="I11:I41">
    <cfRule type="expression" dxfId="1" priority="421" stopIfTrue="1">
      <formula>$D11="土"</formula>
    </cfRule>
  </conditionalFormatting>
  <conditionalFormatting sqref="I11:I41">
    <cfRule type="expression" dxfId="0" priority="422" stopIfTrue="1">
      <formula>$D11="日"</formula>
    </cfRule>
  </conditionalFormatting>
  <conditionalFormatting sqref="I11:I41">
    <cfRule type="expression" dxfId="1" priority="423" stopIfTrue="1">
      <formula>$D11="土"</formula>
    </cfRule>
  </conditionalFormatting>
  <conditionalFormatting sqref="I11:I41">
    <cfRule type="expression" dxfId="0" priority="424" stopIfTrue="1">
      <formula>$D11="日"</formula>
    </cfRule>
  </conditionalFormatting>
  <conditionalFormatting sqref="I11:I41">
    <cfRule type="expression" dxfId="1" priority="425" stopIfTrue="1">
      <formula>$D11="土"</formula>
    </cfRule>
  </conditionalFormatting>
  <conditionalFormatting sqref="I11:I41">
    <cfRule type="expression" dxfId="0" priority="426" stopIfTrue="1">
      <formula>$D11="日"</formula>
    </cfRule>
  </conditionalFormatting>
  <conditionalFormatting sqref="I11:I41">
    <cfRule type="expression" dxfId="1" priority="427" stopIfTrue="1">
      <formula>$D11="土"</formula>
    </cfRule>
  </conditionalFormatting>
  <conditionalFormatting sqref="I40">
    <cfRule type="expression" dxfId="0" priority="428" stopIfTrue="1">
      <formula>$D40="日"</formula>
    </cfRule>
  </conditionalFormatting>
  <conditionalFormatting sqref="I40">
    <cfRule type="expression" dxfId="1" priority="429" stopIfTrue="1">
      <formula>$D40="土"</formula>
    </cfRule>
  </conditionalFormatting>
  <conditionalFormatting sqref="I11:I41">
    <cfRule type="expression" dxfId="0" priority="430" stopIfTrue="1">
      <formula>$D11="日"</formula>
    </cfRule>
  </conditionalFormatting>
  <conditionalFormatting sqref="I11:I41">
    <cfRule type="expression" dxfId="1" priority="431" stopIfTrue="1">
      <formula>$D11="土"</formula>
    </cfRule>
  </conditionalFormatting>
  <conditionalFormatting sqref="I11:I41">
    <cfRule type="expression" dxfId="0" priority="432" stopIfTrue="1">
      <formula>$D11="日"</formula>
    </cfRule>
  </conditionalFormatting>
  <conditionalFormatting sqref="I11:I41">
    <cfRule type="expression" dxfId="1" priority="433" stopIfTrue="1">
      <formula>$D11="土"</formula>
    </cfRule>
  </conditionalFormatting>
  <conditionalFormatting sqref="I11:I41">
    <cfRule type="expression" dxfId="0" priority="434" stopIfTrue="1">
      <formula>$D11="日"</formula>
    </cfRule>
  </conditionalFormatting>
  <conditionalFormatting sqref="I11:I41">
    <cfRule type="expression" dxfId="1" priority="435" stopIfTrue="1">
      <formula>$D11="土"</formula>
    </cfRule>
  </conditionalFormatting>
  <conditionalFormatting sqref="E11:E41 F16 F18:F19 F23:F24 F30:F31 F35 F37:F38">
    <cfRule type="expression" dxfId="0" priority="436" stopIfTrue="1">
      <formula>$D11="日"</formula>
    </cfRule>
  </conditionalFormatting>
  <conditionalFormatting sqref="E11:E41 F16 F18:F19 F23:F24 F30:F31 F35 F37:F38">
    <cfRule type="expression" dxfId="1" priority="437" stopIfTrue="1">
      <formula>$D11="土"</formula>
    </cfRule>
  </conditionalFormatting>
  <conditionalFormatting sqref="E11:E41 F16 F18:F19 F23:F24 F30:F31 F35 F37:F38">
    <cfRule type="expression" dxfId="0" priority="438" stopIfTrue="1">
      <formula>$D11="日"</formula>
    </cfRule>
  </conditionalFormatting>
  <conditionalFormatting sqref="E11:E41 F16 F18:F19 F23:F24 F30:F31 F35 F37:F38">
    <cfRule type="expression" dxfId="1" priority="439" stopIfTrue="1">
      <formula>$D11="土"</formula>
    </cfRule>
  </conditionalFormatting>
  <conditionalFormatting sqref="E11:E17 F16 F18:F19 E20:E24 F23:F24 E27:E38 F30:F31 F35 F37:F38 E40">
    <cfRule type="expression" dxfId="0" priority="440" stopIfTrue="1">
      <formula>$D11="日"</formula>
    </cfRule>
  </conditionalFormatting>
  <conditionalFormatting sqref="E11:E17 F16 F18:F19 E20:E24 F23:F24 E27:E38 F30:F31 F35 F37:F38 E40">
    <cfRule type="expression" dxfId="1" priority="441" stopIfTrue="1">
      <formula>$D11="土"</formula>
    </cfRule>
  </conditionalFormatting>
  <conditionalFormatting sqref="E11:E17 F16 F18:F19 E20:E24 F23:F24 E27:E38 F30:F31 F35 F37:F38 E40">
    <cfRule type="expression" dxfId="0" priority="442" stopIfTrue="1">
      <formula>$D11="日"</formula>
    </cfRule>
  </conditionalFormatting>
  <conditionalFormatting sqref="E11:E17 F16 F18:F19 E20:E24 F23:F24 E27:E38 F30:F31 F35 F37:F38 E40">
    <cfRule type="expression" dxfId="1" priority="443" stopIfTrue="1">
      <formula>$D11="土"</formula>
    </cfRule>
  </conditionalFormatting>
  <conditionalFormatting sqref="E11:E41 F16 F18:F19 F23:F24 F30:F31 F35 F37:F38">
    <cfRule type="expression" dxfId="0" priority="444" stopIfTrue="1">
      <formula>$D11="日"</formula>
    </cfRule>
  </conditionalFormatting>
  <conditionalFormatting sqref="E11:E41 F16 F18:F19 F23:F24 F30:F31 F35 F37:F38">
    <cfRule type="expression" dxfId="1" priority="445" stopIfTrue="1">
      <formula>$D11="土"</formula>
    </cfRule>
  </conditionalFormatting>
  <conditionalFormatting sqref="E11:E41 F16 F18:F19 F23:F24 F30:F31 F35 F37:F38">
    <cfRule type="expression" dxfId="0" priority="446" stopIfTrue="1">
      <formula>$D11="日"</formula>
    </cfRule>
  </conditionalFormatting>
  <conditionalFormatting sqref="E11:E41 F16 F18:F19 F23:F24 F30:F31 F35 F37:F38">
    <cfRule type="expression" dxfId="1" priority="447" stopIfTrue="1">
      <formula>$D11="土"</formula>
    </cfRule>
  </conditionalFormatting>
  <conditionalFormatting sqref="E11:E41 F16 F18:F19 F23:F24 F30:F31 F35 F37:F38">
    <cfRule type="expression" dxfId="0" priority="448" stopIfTrue="1">
      <formula>$D11="日"</formula>
    </cfRule>
  </conditionalFormatting>
  <conditionalFormatting sqref="E11:E41 F16 F18:F19 F23:F24 F30:F31 F35 F37:F38">
    <cfRule type="expression" dxfId="1" priority="449" stopIfTrue="1">
      <formula>$D11="土"</formula>
    </cfRule>
  </conditionalFormatting>
  <conditionalFormatting sqref="E11:E41 F16 F18:F19 F23:F24 F30:F31 F35 F37:F38">
    <cfRule type="expression" dxfId="0" priority="450" stopIfTrue="1">
      <formula>$D11="日"</formula>
    </cfRule>
  </conditionalFormatting>
  <conditionalFormatting sqref="E11:E41 F16 F18:F19 F23:F24 F30:F31 F35 F37:F38">
    <cfRule type="expression" dxfId="1" priority="451" stopIfTrue="1">
      <formula>$D11="土"</formula>
    </cfRule>
  </conditionalFormatting>
  <conditionalFormatting sqref="E11:E41 F16 F18:F19 F23:F24 F30:F31 F35 F37:F38">
    <cfRule type="expression" dxfId="0" priority="452" stopIfTrue="1">
      <formula>$D11="日"</formula>
    </cfRule>
  </conditionalFormatting>
  <conditionalFormatting sqref="E11:E41 F16 F18:F19 F23:F24 F30:F31 F35 F37:F38">
    <cfRule type="expression" dxfId="1" priority="453" stopIfTrue="1">
      <formula>$D11="土"</formula>
    </cfRule>
  </conditionalFormatting>
  <conditionalFormatting sqref="E11:E41 F16 F18:F19 F23:F24 F30:F31 F35 F37:F38">
    <cfRule type="expression" dxfId="0" priority="454" stopIfTrue="1">
      <formula>$D11="日"</formula>
    </cfRule>
  </conditionalFormatting>
  <conditionalFormatting sqref="E11:E41 F16 F18:F19 F23:F24 F30:F31 F35 F37:F38">
    <cfRule type="expression" dxfId="1" priority="455" stopIfTrue="1">
      <formula>$D11="土"</formula>
    </cfRule>
  </conditionalFormatting>
  <conditionalFormatting sqref="E11:E41 F16 F18:F19 F23:F24 F30:F31 F35 F37:F38">
    <cfRule type="expression" dxfId="0" priority="456" stopIfTrue="1">
      <formula>$D11="日"</formula>
    </cfRule>
  </conditionalFormatting>
  <conditionalFormatting sqref="E11:E41 F16 F18:F19 F23:F24 F30:F31 F35 F37:F38">
    <cfRule type="expression" dxfId="1" priority="457" stopIfTrue="1">
      <formula>$D11="土"</formula>
    </cfRule>
  </conditionalFormatting>
  <conditionalFormatting sqref="E11:E41 F16 F18:F19 F23:F24 F30:F31 F35 F37:F38">
    <cfRule type="expression" dxfId="0" priority="458" stopIfTrue="1">
      <formula>$D11="日"</formula>
    </cfRule>
  </conditionalFormatting>
  <conditionalFormatting sqref="E11:E41 F16 F18:F19 F23:F24 F30:F31 F35 F37:F38">
    <cfRule type="expression" dxfId="1" priority="459" stopIfTrue="1">
      <formula>$D11="土"</formula>
    </cfRule>
  </conditionalFormatting>
  <conditionalFormatting sqref="E11:E41 F16 F18:F19 F23:F24 F30:F31 F35 F37:F38">
    <cfRule type="expression" dxfId="0" priority="460" stopIfTrue="1">
      <formula>$D11="日"</formula>
    </cfRule>
  </conditionalFormatting>
  <conditionalFormatting sqref="E11:E41 F16 F18:F19 F23:F24 F30:F31 F35 F37:F38">
    <cfRule type="expression" dxfId="1" priority="461" stopIfTrue="1">
      <formula>$D11="土"</formula>
    </cfRule>
  </conditionalFormatting>
  <conditionalFormatting sqref="E11:E15 E18:E22 E25:E40">
    <cfRule type="expression" dxfId="0" priority="462" stopIfTrue="1">
      <formula>$D11="日"</formula>
    </cfRule>
  </conditionalFormatting>
  <conditionalFormatting sqref="E11:E15 E18:E22 E25:E40">
    <cfRule type="expression" dxfId="1" priority="463" stopIfTrue="1">
      <formula>$D11="土"</formula>
    </cfRule>
  </conditionalFormatting>
  <conditionalFormatting sqref="E11:E15 E18:E22 E25:E40">
    <cfRule type="expression" dxfId="0" priority="464" stopIfTrue="1">
      <formula>$D11="日"</formula>
    </cfRule>
  </conditionalFormatting>
  <conditionalFormatting sqref="E11:E15 E18:E22 E25:E40">
    <cfRule type="expression" dxfId="1" priority="465" stopIfTrue="1">
      <formula>$D11="土"</formula>
    </cfRule>
  </conditionalFormatting>
  <conditionalFormatting sqref="E11:E15 E18:E22 E25:E40">
    <cfRule type="expression" dxfId="0" priority="466" stopIfTrue="1">
      <formula>$D11="日"</formula>
    </cfRule>
  </conditionalFormatting>
  <conditionalFormatting sqref="E11:E15 E18:E22 E25:E40">
    <cfRule type="expression" dxfId="1" priority="467" stopIfTrue="1">
      <formula>$D11="土"</formula>
    </cfRule>
  </conditionalFormatting>
  <conditionalFormatting sqref="E11:E15 E18:E22 E25:E40">
    <cfRule type="expression" dxfId="0" priority="468" stopIfTrue="1">
      <formula>$D11="日"</formula>
    </cfRule>
  </conditionalFormatting>
  <conditionalFormatting sqref="E11:E15 E18:E22 E25:E40">
    <cfRule type="expression" dxfId="1" priority="469" stopIfTrue="1">
      <formula>$D11="土"</formula>
    </cfRule>
  </conditionalFormatting>
  <conditionalFormatting sqref="E11:E15 E18:E22 E25:E40">
    <cfRule type="expression" dxfId="0" priority="470" stopIfTrue="1">
      <formula>$D11="日"</formula>
    </cfRule>
  </conditionalFormatting>
  <conditionalFormatting sqref="E11:E15 E18:E22 E25:E40">
    <cfRule type="expression" dxfId="1" priority="471" stopIfTrue="1">
      <formula>$D11="土"</formula>
    </cfRule>
  </conditionalFormatting>
  <conditionalFormatting sqref="E11:E15 E18:E22 E25:E40">
    <cfRule type="expression" dxfId="0" priority="472" stopIfTrue="1">
      <formula>$D11="日"</formula>
    </cfRule>
  </conditionalFormatting>
  <conditionalFormatting sqref="E11:E15 E18:E22 E25:E40">
    <cfRule type="expression" dxfId="1" priority="473" stopIfTrue="1">
      <formula>$D11="土"</formula>
    </cfRule>
  </conditionalFormatting>
  <conditionalFormatting sqref="E11:E15 E18:E22 E25:E40">
    <cfRule type="expression" dxfId="0" priority="474" stopIfTrue="1">
      <formula>$D11="日"</formula>
    </cfRule>
  </conditionalFormatting>
  <conditionalFormatting sqref="E11:E15 E18:E22 E25:E40">
    <cfRule type="expression" dxfId="1" priority="475" stopIfTrue="1">
      <formula>$D11="土"</formula>
    </cfRule>
  </conditionalFormatting>
  <conditionalFormatting sqref="E11:E15 E18:E22 E25:E40">
    <cfRule type="expression" dxfId="0" priority="476" stopIfTrue="1">
      <formula>$D11="日"</formula>
    </cfRule>
  </conditionalFormatting>
  <conditionalFormatting sqref="E11:E15 E18:E22 E25:E40">
    <cfRule type="expression" dxfId="1" priority="477" stopIfTrue="1">
      <formula>$D11="土"</formula>
    </cfRule>
  </conditionalFormatting>
  <conditionalFormatting sqref="E11:E15 E18:E22 E25:E40">
    <cfRule type="expression" dxfId="0" priority="478" stopIfTrue="1">
      <formula>$D11="日"</formula>
    </cfRule>
  </conditionalFormatting>
  <conditionalFormatting sqref="E11:E15 E18:E22 E25:E40">
    <cfRule type="expression" dxfId="1" priority="479" stopIfTrue="1">
      <formula>$D11="土"</formula>
    </cfRule>
  </conditionalFormatting>
  <conditionalFormatting sqref="E11:E41 F16 F18:F19 F23:F24 F30:F31 F35 F37:F38">
    <cfRule type="expression" dxfId="0" priority="480" stopIfTrue="1">
      <formula>$D11="日"</formula>
    </cfRule>
  </conditionalFormatting>
  <conditionalFormatting sqref="E11:E41 F16 F18:F19 F23:F24 F30:F31 F35 F37:F38">
    <cfRule type="expression" dxfId="1" priority="481" stopIfTrue="1">
      <formula>$D11="土"</formula>
    </cfRule>
  </conditionalFormatting>
  <conditionalFormatting sqref="E11:E41 F16 F18:F19 F23:F24 F30:F31 F35 F37:F38">
    <cfRule type="expression" dxfId="0" priority="482" stopIfTrue="1">
      <formula>$D11="日"</formula>
    </cfRule>
  </conditionalFormatting>
  <conditionalFormatting sqref="E11:E41 F16 F18:F19 F23:F24 F30:F31 F35 F37:F38">
    <cfRule type="expression" dxfId="1" priority="483" stopIfTrue="1">
      <formula>$D11="土"</formula>
    </cfRule>
  </conditionalFormatting>
  <conditionalFormatting sqref="E11:E41 F16 F18:F19 F23:F24 F30:F31 F35 F37:F38">
    <cfRule type="expression" dxfId="0" priority="484" stopIfTrue="1">
      <formula>$D11="日"</formula>
    </cfRule>
  </conditionalFormatting>
  <conditionalFormatting sqref="E11:E41 F16 F18:F19 F23:F24 F30:F31 F35 F37:F38">
    <cfRule type="expression" dxfId="1" priority="485" stopIfTrue="1">
      <formula>$D11="土"</formula>
    </cfRule>
  </conditionalFormatting>
  <conditionalFormatting sqref="E11:E41 F16 F18:F19 F23:F24 F30:F31 F35 F37:F38">
    <cfRule type="expression" dxfId="0" priority="486" stopIfTrue="1">
      <formula>$D11="日"</formula>
    </cfRule>
  </conditionalFormatting>
  <conditionalFormatting sqref="E11:E41 F16 F18:F19 F23:F24 F30:F31 F35 F37:F38">
    <cfRule type="expression" dxfId="1" priority="487" stopIfTrue="1">
      <formula>$D11="土"</formula>
    </cfRule>
  </conditionalFormatting>
  <conditionalFormatting sqref="E11:E41 F16 F18:F19 F23:F24 F30:F31 F35 F37:F38">
    <cfRule type="expression" dxfId="0" priority="488" stopIfTrue="1">
      <formula>$D11="日"</formula>
    </cfRule>
  </conditionalFormatting>
  <conditionalFormatting sqref="E11:E41 F16 F18:F19 F23:F24 F30:F31 F35 F37:F38">
    <cfRule type="expression" dxfId="1" priority="489" stopIfTrue="1">
      <formula>$D11="土"</formula>
    </cfRule>
  </conditionalFormatting>
  <conditionalFormatting sqref="E11:E41 F16 F18:F19 F23:F24 F30:F31 F35 F37:F38">
    <cfRule type="expression" dxfId="0" priority="490" stopIfTrue="1">
      <formula>$D11="日"</formula>
    </cfRule>
  </conditionalFormatting>
  <conditionalFormatting sqref="E11:E41 F16 F18:F19 F23:F24 F30:F31 F35 F37:F38">
    <cfRule type="expression" dxfId="1" priority="491" stopIfTrue="1">
      <formula>$D11="土"</formula>
    </cfRule>
  </conditionalFormatting>
  <conditionalFormatting sqref="E11:E41 F16 F18:F19 F23:F24 F30:F31 F35 F37:F38">
    <cfRule type="expression" dxfId="0" priority="492" stopIfTrue="1">
      <formula>$D11="日"</formula>
    </cfRule>
  </conditionalFormatting>
  <conditionalFormatting sqref="E11:E41 F16 F18:F19 F23:F24 F30:F31 F35 F37:F38">
    <cfRule type="expression" dxfId="1" priority="493" stopIfTrue="1">
      <formula>$D11="土"</formula>
    </cfRule>
  </conditionalFormatting>
  <conditionalFormatting sqref="E11:E41 F16 F18:F19 F23:F24 F30:F31 F35 F37:F38">
    <cfRule type="expression" dxfId="0" priority="494" stopIfTrue="1">
      <formula>$D11="日"</formula>
    </cfRule>
  </conditionalFormatting>
  <conditionalFormatting sqref="E11:E41 F16 F18:F19 F23:F24 F30:F31 F35 F37:F38">
    <cfRule type="expression" dxfId="1" priority="495" stopIfTrue="1">
      <formula>$D11="土"</formula>
    </cfRule>
  </conditionalFormatting>
  <conditionalFormatting sqref="E11:E41 F16 F18:F19 F23:F24 F30:F31 F35 F37:F38">
    <cfRule type="expression" dxfId="0" priority="496" stopIfTrue="1">
      <formula>$D11="日"</formula>
    </cfRule>
  </conditionalFormatting>
  <conditionalFormatting sqref="E11:E41 F16 F18:F19 F23:F24 F30:F31 F35 F37:F38">
    <cfRule type="expression" dxfId="1" priority="497" stopIfTrue="1">
      <formula>$D11="土"</formula>
    </cfRule>
  </conditionalFormatting>
  <conditionalFormatting sqref="E11:E12 E14:E15 E18:E19 E21:E22 E25:E26 E28:E29 E32:E33 E35:E40">
    <cfRule type="expression" dxfId="0" priority="498" stopIfTrue="1">
      <formula>$D11="日"</formula>
    </cfRule>
  </conditionalFormatting>
  <conditionalFormatting sqref="E11:E12 E14:E15 E18:E19 E21:E22 E25:E26 E28:E29 E32:E33 E35:E40">
    <cfRule type="expression" dxfId="1" priority="499" stopIfTrue="1">
      <formula>$D11="土"</formula>
    </cfRule>
  </conditionalFormatting>
  <conditionalFormatting sqref="E11:E12 E14:E15 E18:E19 E21:E22 E25:E26 E28:E29 E32:E33 E35:E40">
    <cfRule type="expression" dxfId="0" priority="500" stopIfTrue="1">
      <formula>$D11="日"</formula>
    </cfRule>
  </conditionalFormatting>
  <conditionalFormatting sqref="E11:E12 E14:E15 E18:E19 E21:E22 E25:E26 E28:E29 E32:E33 E35:E40">
    <cfRule type="expression" dxfId="1" priority="501" stopIfTrue="1">
      <formula>$D11="土"</formula>
    </cfRule>
  </conditionalFormatting>
  <conditionalFormatting sqref="E11:E12 E14:E15 E18:E19 E21:E22 E25:E26 E28:E29 E32:E33 E35:E40">
    <cfRule type="expression" dxfId="0" priority="502" stopIfTrue="1">
      <formula>$D11="日"</formula>
    </cfRule>
  </conditionalFormatting>
  <conditionalFormatting sqref="E11:E12 E14:E15 E18:E19 E21:E22 E25:E26 E28:E29 E32:E33 E35:E40">
    <cfRule type="expression" dxfId="1" priority="503" stopIfTrue="1">
      <formula>$D11="土"</formula>
    </cfRule>
  </conditionalFormatting>
  <conditionalFormatting sqref="E11:E12 E14:E15 E18:E19 E21:E22 E25:E26 E28:E29 E32:E33 E35:E40">
    <cfRule type="expression" dxfId="0" priority="504" stopIfTrue="1">
      <formula>$D11="日"</formula>
    </cfRule>
  </conditionalFormatting>
  <conditionalFormatting sqref="E11:E12 E14:E15 E18:E19 E21:E22 E25:E26 E28:E29 E32:E33 E35:E40">
    <cfRule type="expression" dxfId="1" priority="505" stopIfTrue="1">
      <formula>$D11="土"</formula>
    </cfRule>
  </conditionalFormatting>
  <conditionalFormatting sqref="E11:E12 E14:E15 E18:E19 E21:E22 E25:E26 E28:E29 E32:E33 E35:E40">
    <cfRule type="expression" dxfId="0" priority="506" stopIfTrue="1">
      <formula>$D11="日"</formula>
    </cfRule>
  </conditionalFormatting>
  <conditionalFormatting sqref="E11:E12 E14:E15 E18:E19 E21:E22 E25:E26 E28:E29 E32:E33 E35:E40">
    <cfRule type="expression" dxfId="1" priority="507" stopIfTrue="1">
      <formula>$D11="土"</formula>
    </cfRule>
  </conditionalFormatting>
  <conditionalFormatting sqref="E11:E12 E14:E15 E18:E19 E21:E22 E25:E26 E28:E29 E32:E33 E35:E40">
    <cfRule type="expression" dxfId="0" priority="508" stopIfTrue="1">
      <formula>$D11="日"</formula>
    </cfRule>
  </conditionalFormatting>
  <conditionalFormatting sqref="E11:E12 E14:E15 E18:E19 E21:E22 E25:E26 E28:E29 E32:E33 E35:E40">
    <cfRule type="expression" dxfId="1" priority="509" stopIfTrue="1">
      <formula>$D11="土"</formula>
    </cfRule>
  </conditionalFormatting>
  <conditionalFormatting sqref="E11:E12 E14:E15 E18:E19 E21:E22 E25:E26 E28:E29 E32:E33 E35:E40">
    <cfRule type="expression" dxfId="0" priority="510" stopIfTrue="1">
      <formula>$D11="日"</formula>
    </cfRule>
  </conditionalFormatting>
  <conditionalFormatting sqref="E11:E12 E14:E15 E18:E19 E21:E22 E25:E26 E28:E29 E32:E33 E35:E40">
    <cfRule type="expression" dxfId="1" priority="511" stopIfTrue="1">
      <formula>$D11="土"</formula>
    </cfRule>
  </conditionalFormatting>
  <conditionalFormatting sqref="E11:E12 E14:E15 E18:E19 E21:E22 E25:E26 E28:E29 E32:E33 E35:E40">
    <cfRule type="expression" dxfId="0" priority="512" stopIfTrue="1">
      <formula>$D11="日"</formula>
    </cfRule>
  </conditionalFormatting>
  <conditionalFormatting sqref="E11:E12 E14:E15 E18:E19 E21:E22 E25:E26 E28:E29 E32:E33 E35:E40">
    <cfRule type="expression" dxfId="1" priority="513" stopIfTrue="1">
      <formula>$D11="土"</formula>
    </cfRule>
  </conditionalFormatting>
  <conditionalFormatting sqref="E11:E12 E14:E15 E18:E19 E21:E22 E25:E26 E28:E29 E32:E33 E35:E40">
    <cfRule type="expression" dxfId="0" priority="514" stopIfTrue="1">
      <formula>$D11="日"</formula>
    </cfRule>
  </conditionalFormatting>
  <conditionalFormatting sqref="E11:E12 E14:E15 E18:E19 E21:E22 E25:E26 E28:E29 E32:E33 E35:E40">
    <cfRule type="expression" dxfId="1" priority="515" stopIfTrue="1">
      <formula>$D11="土"</formula>
    </cfRule>
  </conditionalFormatting>
  <conditionalFormatting sqref="E11:E40 F16 F18:F19 F23:F24 F30:F31 F35 F37:F38">
    <cfRule type="expression" dxfId="0" priority="516" stopIfTrue="1">
      <formula>$D11="日"</formula>
    </cfRule>
  </conditionalFormatting>
  <conditionalFormatting sqref="E11:E40 F16 F18:F19 F23:F24 F30:F31 F35 F37:F38">
    <cfRule type="expression" dxfId="1" priority="517" stopIfTrue="1">
      <formula>$D11="土"</formula>
    </cfRule>
  </conditionalFormatting>
  <conditionalFormatting sqref="E11:E40 F16 F18:F19 F23:F24 F30:F31 F35 F37:F38">
    <cfRule type="expression" dxfId="0" priority="518" stopIfTrue="1">
      <formula>$D11="日"</formula>
    </cfRule>
  </conditionalFormatting>
  <conditionalFormatting sqref="E11:E40 F16 F18:F19 F23:F24 F30:F31 F35 F37:F38">
    <cfRule type="expression" dxfId="1" priority="519" stopIfTrue="1">
      <formula>$D11="土"</formula>
    </cfRule>
  </conditionalFormatting>
  <conditionalFormatting sqref="E11:E40 F16 F18:F19 F23:F24 F30:F31 F35 F37:F38">
    <cfRule type="expression" dxfId="0" priority="520" stopIfTrue="1">
      <formula>$D11="日"</formula>
    </cfRule>
  </conditionalFormatting>
  <conditionalFormatting sqref="E11:E40 F16 F18:F19 F23:F24 F30:F31 F35 F37:F38">
    <cfRule type="expression" dxfId="1" priority="521" stopIfTrue="1">
      <formula>$D11="土"</formula>
    </cfRule>
  </conditionalFormatting>
  <conditionalFormatting sqref="E11:E40 F16 F18:F19 F23:F24 F30:F31 F35 F37:F38">
    <cfRule type="expression" dxfId="0" priority="522" stopIfTrue="1">
      <formula>$D11="日"</formula>
    </cfRule>
  </conditionalFormatting>
  <conditionalFormatting sqref="E11:E40 F16 F18:F19 F23:F24 F30:F31 F35 F37:F38">
    <cfRule type="expression" dxfId="1" priority="523" stopIfTrue="1">
      <formula>$D11="土"</formula>
    </cfRule>
  </conditionalFormatting>
  <conditionalFormatting sqref="E11:E40 F16 F18:F19 F23:F24 F30:F31 F35 F37:F38">
    <cfRule type="expression" dxfId="0" priority="524" stopIfTrue="1">
      <formula>$D11="日"</formula>
    </cfRule>
  </conditionalFormatting>
  <conditionalFormatting sqref="E11:E40 F16 F18:F19 F23:F24 F30:F31 F35 F37:F38">
    <cfRule type="expression" dxfId="1" priority="525" stopIfTrue="1">
      <formula>$D11="土"</formula>
    </cfRule>
  </conditionalFormatting>
  <conditionalFormatting sqref="E11:E40 F16 F18:F19 F23:F24 F30:F31 F35 F37:F38">
    <cfRule type="expression" dxfId="0" priority="526" stopIfTrue="1">
      <formula>$D11="日"</formula>
    </cfRule>
  </conditionalFormatting>
  <conditionalFormatting sqref="E11:E40 F16 F18:F19 F23:F24 F30:F31 F35 F37:F38">
    <cfRule type="expression" dxfId="1" priority="527" stopIfTrue="1">
      <formula>$D11="土"</formula>
    </cfRule>
  </conditionalFormatting>
  <conditionalFormatting sqref="E11:E40 F16 F18:F19 F23:F24 F30:F31 F35 F37:F38">
    <cfRule type="expression" dxfId="0" priority="528" stopIfTrue="1">
      <formula>$D11="日"</formula>
    </cfRule>
  </conditionalFormatting>
  <conditionalFormatting sqref="E11:E40 F16 F18:F19 F23:F24 F30:F31 F35 F37:F38">
    <cfRule type="expression" dxfId="1" priority="529" stopIfTrue="1">
      <formula>$D11="土"</formula>
    </cfRule>
  </conditionalFormatting>
  <conditionalFormatting sqref="E11:E40 F16 F18:F19 F23:F24 F30:F31 F35 F37:F38">
    <cfRule type="expression" dxfId="0" priority="530" stopIfTrue="1">
      <formula>$D11="日"</formula>
    </cfRule>
  </conditionalFormatting>
  <conditionalFormatting sqref="E11:E40 F16 F18:F19 F23:F24 F30:F31 F35 F37:F38">
    <cfRule type="expression" dxfId="1" priority="531" stopIfTrue="1">
      <formula>$D11="土"</formula>
    </cfRule>
  </conditionalFormatting>
  <conditionalFormatting sqref="E11:E40 F16 F18:F19 F23:F24 F30:F31 F35 F37:F38">
    <cfRule type="expression" dxfId="0" priority="532" stopIfTrue="1">
      <formula>$D11="日"</formula>
    </cfRule>
  </conditionalFormatting>
  <conditionalFormatting sqref="E11:E40 F16 F18:F19 F23:F24 F30:F31 F35 F37:F38">
    <cfRule type="expression" dxfId="1" priority="533" stopIfTrue="1">
      <formula>$D11="土"</formula>
    </cfRule>
  </conditionalFormatting>
  <hyperlinks>
    <hyperlink r:id="rId1" ref="D7"/>
  </hyperlinks>
  <printOptions horizontalCentered="1" verticalCentered="1"/>
  <pageMargins bottom="0.75" footer="0.0" header="0.0" left="0.7" right="0.7" top="0.75"/>
  <pageSetup paperSize="9" orientation="portrait"/>
  <drawing r:id="rId2"/>
</worksheet>
</file>