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3"/>
  <workbookPr defaultThemeVersion="166925"/>
  <mc:AlternateContent xmlns:mc="http://schemas.openxmlformats.org/markup-compatibility/2006">
    <mc:Choice Requires="x15">
      <x15ac:absPath xmlns:x15ac="http://schemas.microsoft.com/office/spreadsheetml/2010/11/ac" url="/Users/matsubah/Documents/案件メモ/"/>
    </mc:Choice>
  </mc:AlternateContent>
  <xr:revisionPtr revIDLastSave="0" documentId="8_{5D186B7F-D72C-A748-BB1B-5D29799C246D}" xr6:coauthVersionLast="45" xr6:coauthVersionMax="45" xr10:uidLastSave="{00000000-0000-0000-0000-000000000000}"/>
  <bookViews>
    <workbookView xWindow="240" yWindow="460" windowWidth="28300" windowHeight="16780" xr2:uid="{A136C344-518C-1341-8452-42B54BF16FCD}"/>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D9" i="1" l="1"/>
  <c r="F9" i="1"/>
  <c r="D10" i="1"/>
  <c r="F10" i="1"/>
  <c r="D8" i="1"/>
  <c r="D7" i="1"/>
  <c r="D6" i="1"/>
  <c r="D5" i="1"/>
  <c r="D4" i="1"/>
  <c r="D3" i="1"/>
  <c r="D2" i="1"/>
  <c r="F5" i="1"/>
  <c r="F4" i="1"/>
  <c r="F3" i="1"/>
  <c r="F2" i="1"/>
  <c r="F7" i="1"/>
  <c r="F8" i="1"/>
  <c r="F6"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tc={D6614ACB-9B4E-DE46-B70A-D0F274A6F818}</author>
  </authors>
  <commentList>
    <comment ref="E2" authorId="0" shapeId="0" xr:uid="{D6614ACB-9B4E-DE46-B70A-D0F274A6F818}">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予想</t>
      </text>
    </comment>
  </commentList>
</comments>
</file>

<file path=xl/sharedStrings.xml><?xml version="1.0" encoding="utf-8"?>
<sst xmlns="http://schemas.openxmlformats.org/spreadsheetml/2006/main" count="24" uniqueCount="17">
  <si>
    <t>width</t>
    <phoneticPr fontId="3"/>
  </si>
  <si>
    <t>height</t>
    <phoneticPr fontId="3"/>
  </si>
  <si>
    <t>iPhone12 mini</t>
    <phoneticPr fontId="3"/>
  </si>
  <si>
    <t>iPhone12</t>
    <phoneticPr fontId="3"/>
  </si>
  <si>
    <t>ratio</t>
    <phoneticPr fontId="3"/>
  </si>
  <si>
    <t>iPhone 11 Pro</t>
    <phoneticPr fontId="3"/>
  </si>
  <si>
    <t>iPhone 12 Pro</t>
    <phoneticPr fontId="3"/>
  </si>
  <si>
    <t>iPhone 11</t>
    <phoneticPr fontId="3"/>
  </si>
  <si>
    <t>iPhone 11 Pro Max</t>
    <phoneticPr fontId="3"/>
  </si>
  <si>
    <t>iPhone 12 Pro Max</t>
    <phoneticPr fontId="3"/>
  </si>
  <si>
    <t>2x</t>
    <phoneticPr fontId="3"/>
  </si>
  <si>
    <t>3x</t>
    <phoneticPr fontId="3"/>
  </si>
  <si>
    <t>inch</t>
    <phoneticPr fontId="3"/>
  </si>
  <si>
    <t>device pixel ratio</t>
    <phoneticPr fontId="3"/>
  </si>
  <si>
    <t>解像度</t>
    <rPh sb="0" eb="3">
      <t>カイゾウド</t>
    </rPh>
    <phoneticPr fontId="3"/>
  </si>
  <si>
    <t>iPhone SE</t>
    <phoneticPr fontId="3"/>
  </si>
  <si>
    <t>iPhone SE 2</t>
    <phoneticPr fontId="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</si>
</sst>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85" formatCode="0.000"/>
  </numFmts>
  <fonts count="6">
    <font>
      <sz val="12"/>
      <color theme="1"/>
      <name val="游ゴシック"/>
      <family val="2"/>
      <charset val="128"/>
      <scheme val="minor"/>
    </font>
    <font>
      <sz val="12"/>
      <color theme="1"/>
      <name val="游ゴシック"/>
      <family val="2"/>
      <charset val="128"/>
      <scheme val="minor"/>
    </font>
    <font>
      <sz val="12"/>
      <color rgb="FFFF0000"/>
      <name val="游ゴシック"/>
      <family val="2"/>
      <charset val="128"/>
      <scheme val="minor"/>
    </font>
    <font>
      <sz val="6"/>
      <name val="游ゴシック"/>
      <family val="2"/>
      <charset val="128"/>
      <scheme val="minor"/>
    </font>
    <font>
      <sz val="12"/>
      <color rgb="FFFF0000"/>
      <name val="游ゴシック"/>
      <family val="3"/>
      <charset val="128"/>
      <scheme val="minor"/>
    </font>
    <font>
      <sz val="10"/>
      <color rgb="FF000000"/>
      <name val="Yu Gothic UI"/>
    </font>
  </fonts>
  <fills count="2">
    <fill>
      <patternFill patternType="none"/>
    </fill>
    <fill>
      <patternFill patternType="gray125"/>
    </fill>
  </fills>
  <borders count="1">
    <border>
      <left/>
      <right/>
      <top/>
      <bottom/>
      <diagonal/>
    </border>
  </borders>
  <cellStyleXfs count="2">
    <xf numFmtId="0" fontId="0" fillId="0" borderId="0">
      <alignment vertical="center"/>
    </xf>
    <xf numFmtId="38" fontId="1" fillId="0" borderId="0" applyFont="0" applyFill="0" applyBorder="0" applyAlignment="0" applyProtection="0">
      <alignment vertical="center"/>
    </xf>
  </cellStyleXfs>
  <cellXfs count="5">
    <xf numFmtId="0" fontId="0" fillId="0" borderId="0" xfId="0">
      <alignment vertical="center"/>
    </xf>
    <xf numFmtId="0" fontId="0" fillId="0" borderId="0" xfId="0" quotePrefix="1">
      <alignment vertical="center"/>
    </xf>
    <xf numFmtId="0" fontId="2" fillId="0" borderId="0" xfId="0" applyFont="1">
      <alignment vertical="center"/>
    </xf>
    <xf numFmtId="0" fontId="4" fillId="0" borderId="0" xfId="0" applyFont="1">
      <alignment vertical="center"/>
    </xf>
    <xf numFmtId="185" fontId="0" fillId="0" borderId="0" xfId="1" applyNumberFormat="1" applyFont="1">
      <alignment vertical="center"/>
    </xf>
  </cellXfs>
  <cellStyles count="2">
    <cellStyle name="桁区切り" xfId="1" builtinId="6"/>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Hiromi Matsubara [LIFULL]" id="{988C6E99-102A-7943-974B-43D6FCFB5BAD}" userId="S::matsubah@lifull.com::d98d0d9e-c3fd-4ed5-b025-5964032c3843" providerId="AD"/>
</personList>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E2" dT="2020-10-14T06:12:12.61" personId="{988C6E99-102A-7943-974B-43D6FCFB5BAD}" id="{D6614ACB-9B4E-DE46-B70A-D0F274A6F818}">
    <text>予想</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5F8298-7924-EA45-BEAE-83E51FF45F66}">
  <dimension ref="A1:G10"/>
  <sheetViews>
    <sheetView tabSelected="1" workbookViewId="0">
      <selection activeCell="E11" sqref="E11"/>
    </sheetView>
  </sheetViews>
  <sheetFormatPr baseColWidth="10" defaultRowHeight="20"/>
  <cols>
    <col min="1" max="1" width="16.140625" customWidth="1"/>
    <col min="2" max="2" width="6" bestFit="1" customWidth="1"/>
    <col min="3" max="3" width="6.7109375" bestFit="1" customWidth="1"/>
    <col min="4" max="4" width="6.140625" bestFit="1" customWidth="1"/>
    <col min="5" max="5" width="15.28515625" bestFit="1" customWidth="1"/>
    <col min="6" max="6" width="8.5703125" bestFit="1" customWidth="1"/>
    <col min="7" max="7" width="5" bestFit="1" customWidth="1"/>
  </cols>
  <sheetData>
    <row r="1" spans="1:7">
      <c r="B1" t="s">
        <v>0</v>
      </c>
      <c r="C1" t="s">
        <v>1</v>
      </c>
      <c r="D1" t="s">
        <v>4</v>
      </c>
      <c r="E1" s="1" t="s">
        <v>13</v>
      </c>
      <c r="F1" t="s">
        <v>14</v>
      </c>
      <c r="G1" t="s">
        <v>12</v>
      </c>
    </row>
    <row r="2" spans="1:7">
      <c r="A2" t="s">
        <v>2</v>
      </c>
      <c r="B2">
        <v>1080</v>
      </c>
      <c r="C2">
        <v>2340</v>
      </c>
      <c r="D2" s="4">
        <f>C2/B2</f>
        <v>2.1666666666666665</v>
      </c>
      <c r="E2" s="2" t="s">
        <v>11</v>
      </c>
      <c r="F2" t="str">
        <f t="shared" ref="F2:F5" si="0">_xlfn.CONCAT((B2/LEFT(E2,1)),"x",(C2/LEFT($E2,1)))</f>
        <v>360x780</v>
      </c>
      <c r="G2">
        <v>5.4</v>
      </c>
    </row>
    <row r="3" spans="1:7">
      <c r="A3" t="s">
        <v>3</v>
      </c>
      <c r="B3">
        <v>1170</v>
      </c>
      <c r="C3">
        <v>2532</v>
      </c>
      <c r="D3" s="4">
        <f t="shared" ref="D3:D8" si="1">C3/B3</f>
        <v>2.164102564102564</v>
      </c>
      <c r="E3" s="3" t="s">
        <v>11</v>
      </c>
      <c r="F3" t="str">
        <f t="shared" si="0"/>
        <v>390x844</v>
      </c>
      <c r="G3">
        <v>6.1</v>
      </c>
    </row>
    <row r="4" spans="1:7">
      <c r="A4" t="s">
        <v>6</v>
      </c>
      <c r="B4">
        <v>1170</v>
      </c>
      <c r="C4">
        <v>2532</v>
      </c>
      <c r="D4" s="4">
        <f t="shared" si="1"/>
        <v>2.164102564102564</v>
      </c>
      <c r="E4" s="3" t="s">
        <v>11</v>
      </c>
      <c r="F4" t="str">
        <f t="shared" si="0"/>
        <v>390x844</v>
      </c>
      <c r="G4">
        <v>6.1</v>
      </c>
    </row>
    <row r="5" spans="1:7">
      <c r="A5" t="s">
        <v>9</v>
      </c>
      <c r="B5">
        <v>1284</v>
      </c>
      <c r="C5">
        <v>2778</v>
      </c>
      <c r="D5" s="4">
        <f t="shared" si="1"/>
        <v>2.1635514018691588</v>
      </c>
      <c r="E5" s="3" t="s">
        <v>11</v>
      </c>
      <c r="F5" t="str">
        <f t="shared" si="0"/>
        <v>428x926</v>
      </c>
      <c r="G5">
        <v>6.7</v>
      </c>
    </row>
    <row r="6" spans="1:7">
      <c r="A6" t="s">
        <v>7</v>
      </c>
      <c r="B6">
        <v>828</v>
      </c>
      <c r="C6">
        <v>1792</v>
      </c>
      <c r="D6" s="4">
        <f t="shared" si="1"/>
        <v>2.1642512077294684</v>
      </c>
      <c r="E6" t="s">
        <v>10</v>
      </c>
      <c r="F6" t="str">
        <f>_xlfn.CONCAT((B6/LEFT(E6,1)),"x",(C6/LEFT($E6,1)))</f>
        <v>414x896</v>
      </c>
      <c r="G6">
        <v>6.1</v>
      </c>
    </row>
    <row r="7" spans="1:7">
      <c r="A7" t="s">
        <v>5</v>
      </c>
      <c r="B7">
        <v>1125</v>
      </c>
      <c r="C7">
        <v>2436</v>
      </c>
      <c r="D7" s="4">
        <f t="shared" si="1"/>
        <v>2.1653333333333333</v>
      </c>
      <c r="E7" t="s">
        <v>11</v>
      </c>
      <c r="F7" t="str">
        <f t="shared" ref="F7:F9" si="2">_xlfn.CONCAT((B7/LEFT(E7,1)),"x",(C7/LEFT($E7,1)))</f>
        <v>375x812</v>
      </c>
      <c r="G7">
        <v>5.8</v>
      </c>
    </row>
    <row r="8" spans="1:7">
      <c r="A8" t="s">
        <v>8</v>
      </c>
      <c r="B8">
        <v>1242</v>
      </c>
      <c r="C8">
        <v>2688</v>
      </c>
      <c r="D8" s="4">
        <f t="shared" si="1"/>
        <v>2.1642512077294684</v>
      </c>
      <c r="E8" t="s">
        <v>11</v>
      </c>
      <c r="F8" t="str">
        <f t="shared" si="2"/>
        <v>414x896</v>
      </c>
      <c r="G8">
        <v>6.5</v>
      </c>
    </row>
    <row r="9" spans="1:7">
      <c r="A9" t="s">
        <v>16</v>
      </c>
      <c r="B9">
        <v>750</v>
      </c>
      <c r="C9">
        <v>1334</v>
      </c>
      <c r="D9" s="4">
        <f t="shared" ref="D9:D10" si="3">C9/B9</f>
        <v>1.7786666666666666</v>
      </c>
      <c r="E9" t="s">
        <v>10</v>
      </c>
      <c r="F9" t="str">
        <f t="shared" ref="F9:F10" si="4">_xlfn.CONCAT((B9/LEFT(E9,1)),"x",(C9/LEFT($E9,1)))</f>
        <v>375x667</v>
      </c>
      <c r="G9">
        <v>4.7</v>
      </c>
    </row>
    <row r="10" spans="1:7">
      <c r="A10" t="s">
        <v>15</v>
      </c>
      <c r="B10">
        <v>640</v>
      </c>
      <c r="C10">
        <v>1136</v>
      </c>
      <c r="D10" s="4">
        <f t="shared" si="3"/>
        <v>1.7749999999999999</v>
      </c>
      <c r="E10" t="s">
        <v>10</v>
      </c>
      <c r="F10" t="str">
        <f t="shared" si="4"/>
        <v>320x568</v>
      </c>
      <c r="G10">
        <v>4</v>
      </c>
    </row>
  </sheetData>
  <phoneticPr fontId="3"/>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ワークシート</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松原 明臣 [LIFULL]</dc:creator>
  <cp:lastModifiedBy>松原 明臣 [LIFULL]</cp:lastModifiedBy>
  <dcterms:created xsi:type="dcterms:W3CDTF">2020-10-14T05:53:45Z</dcterms:created>
  <dcterms:modified xsi:type="dcterms:W3CDTF">2020-10-14T10:17:52Z</dcterms:modified>
</cp:coreProperties>
</file>