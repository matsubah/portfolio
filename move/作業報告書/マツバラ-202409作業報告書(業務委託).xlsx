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matsubah/Documents/レバテック/"/>
    </mc:Choice>
  </mc:AlternateContent>
  <xr:revisionPtr revIDLastSave="0" documentId="13_ncr:1_{C859ABB3-1037-C346-A0DE-D78DC88D636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作業報告書" sheetId="1" r:id="rId1"/>
  </sheets>
  <definedNames>
    <definedName name="_xlnm._FilterDatabase" localSheetId="0" hidden="1">作業報告書!$A$1:$M$7</definedName>
    <definedName name="_xlnm.Print_Area" localSheetId="0">作業報告書!$A$1:$L$53</definedName>
    <definedName name="Z_26A10500_03CE_7149_B1AD_E6C9140E2124_.wvu.Cols" localSheetId="0" hidden="1">作業報告書!$N:$N</definedName>
    <definedName name="Z_26A10500_03CE_7149_B1AD_E6C9140E2124_.wvu.FilterData" localSheetId="0" hidden="1">作業報告書!$A$1:$M$7</definedName>
    <definedName name="Z_26A10500_03CE_7149_B1AD_E6C9140E2124_.wvu.PrintArea" localSheetId="0" hidden="1">作業報告書!$A$1:$L$53</definedName>
  </definedNames>
  <calcPr calcId="191029"/>
  <customWorkbookViews>
    <customWorkbookView name="松原 明臣 [LIFULL] - 個人用ビュー" guid="{26A10500-03CE-7149-B1AD-E6C9140E2124}" mergeInterval="0" personalView="1" maximized="1" yWindow="23" windowWidth="1440" windowHeight="877" activeSheetId="1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3" i="1" l="1"/>
  <c r="H34" i="1"/>
  <c r="H27" i="1"/>
  <c r="H37" i="1"/>
  <c r="H36" i="1"/>
  <c r="H35" i="1"/>
  <c r="H30" i="1"/>
  <c r="H29" i="1"/>
  <c r="H28" i="1"/>
  <c r="H23" i="1"/>
  <c r="H22" i="1"/>
  <c r="H21" i="1"/>
  <c r="H20" i="1"/>
  <c r="H19" i="1"/>
  <c r="H15" i="1"/>
  <c r="H14" i="1"/>
  <c r="H40" i="1"/>
  <c r="H12" i="1"/>
  <c r="H16" i="1"/>
  <c r="B11" i="1" l="1"/>
  <c r="C11" i="1" s="1"/>
  <c r="B12" i="1"/>
  <c r="C12" i="1" s="1"/>
  <c r="B13" i="1"/>
  <c r="D13" i="1" s="1"/>
  <c r="B14" i="1"/>
  <c r="D14" i="1" s="1"/>
  <c r="B15" i="1"/>
  <c r="D15" i="1" s="1"/>
  <c r="B16" i="1"/>
  <c r="D16" i="1" s="1"/>
  <c r="B17" i="1"/>
  <c r="D17" i="1" s="1"/>
  <c r="B18" i="1"/>
  <c r="D18" i="1" s="1"/>
  <c r="B19" i="1"/>
  <c r="C19" i="1" s="1"/>
  <c r="B20" i="1"/>
  <c r="C20" i="1" s="1"/>
  <c r="B21" i="1"/>
  <c r="C21" i="1" s="1"/>
  <c r="B22" i="1"/>
  <c r="D22" i="1" s="1"/>
  <c r="B23" i="1"/>
  <c r="D23" i="1" s="1"/>
  <c r="B24" i="1"/>
  <c r="D24" i="1" s="1"/>
  <c r="B25" i="1"/>
  <c r="D25" i="1" s="1"/>
  <c r="B26" i="1"/>
  <c r="D26" i="1" s="1"/>
  <c r="B27" i="1"/>
  <c r="C27" i="1" s="1"/>
  <c r="B28" i="1"/>
  <c r="C28" i="1" s="1"/>
  <c r="B29" i="1"/>
  <c r="D29" i="1" s="1"/>
  <c r="B30" i="1"/>
  <c r="D30" i="1" s="1"/>
  <c r="B31" i="1"/>
  <c r="C31" i="1" s="1"/>
  <c r="B32" i="1"/>
  <c r="C32" i="1" s="1"/>
  <c r="B33" i="1"/>
  <c r="C33" i="1" s="1"/>
  <c r="B34" i="1"/>
  <c r="D34" i="1" s="1"/>
  <c r="B35" i="1"/>
  <c r="D35" i="1" s="1"/>
  <c r="B36" i="1"/>
  <c r="D36" i="1" s="1"/>
  <c r="B37" i="1"/>
  <c r="D37" i="1" s="1"/>
  <c r="B38" i="1"/>
  <c r="D38" i="1" s="1"/>
  <c r="B39" i="1"/>
  <c r="D39" i="1" s="1"/>
  <c r="B40" i="1"/>
  <c r="C40" i="1" s="1"/>
  <c r="B41" i="1"/>
  <c r="D41" i="1" s="1"/>
  <c r="E42" i="1"/>
  <c r="C37" i="1" l="1"/>
  <c r="C30" i="1"/>
  <c r="D27" i="1"/>
  <c r="D21" i="1"/>
  <c r="C41" i="1"/>
  <c r="D31" i="1"/>
  <c r="C29" i="1"/>
  <c r="D19" i="1"/>
  <c r="C17" i="1"/>
  <c r="D40" i="1"/>
  <c r="C38" i="1"/>
  <c r="D32" i="1"/>
  <c r="D28" i="1"/>
  <c r="C18" i="1"/>
  <c r="D12" i="1"/>
  <c r="D33" i="1"/>
  <c r="C39" i="1"/>
  <c r="C35" i="1"/>
  <c r="C36" i="1"/>
  <c r="C26" i="1"/>
  <c r="D20" i="1"/>
  <c r="H42" i="1"/>
  <c r="O1" i="1" s="1"/>
  <c r="C34" i="1"/>
  <c r="C25" i="1"/>
  <c r="C24" i="1"/>
  <c r="C23" i="1"/>
  <c r="C22" i="1"/>
  <c r="C16" i="1"/>
  <c r="C15" i="1"/>
  <c r="C14" i="1"/>
  <c r="C13" i="1"/>
  <c r="D11" i="1"/>
  <c r="S1" i="1" l="1"/>
  <c r="Q1" i="1"/>
</calcChain>
</file>

<file path=xl/sharedStrings.xml><?xml version="1.0" encoding="utf-8"?>
<sst xmlns="http://schemas.openxmlformats.org/spreadsheetml/2006/main" count="54" uniqueCount="40">
  <si>
    <t>対象年月</t>
  </si>
  <si>
    <t>★対象年月を選択して下さい！！</t>
  </si>
  <si>
    <t>参画先企業名</t>
  </si>
  <si>
    <t>作業従事者</t>
  </si>
  <si>
    <t>印</t>
  </si>
  <si>
    <t>★必ずお名前をご記入下さい！！</t>
  </si>
  <si>
    <r>
      <t>To</t>
    </r>
    <r>
      <rPr>
        <sz val="11"/>
        <rFont val="ＭＳ 明朝"/>
        <family val="1"/>
        <charset val="128"/>
      </rPr>
      <t>：</t>
    </r>
  </si>
  <si>
    <t>report@levtech.jp</t>
  </si>
  <si>
    <t>■作業時間/作業内容</t>
  </si>
  <si>
    <t>月</t>
  </si>
  <si>
    <t>日</t>
  </si>
  <si>
    <t>曜日</t>
  </si>
  <si>
    <t>開始時刻</t>
  </si>
  <si>
    <t>終了時刻</t>
  </si>
  <si>
    <t>休憩時間</t>
  </si>
  <si>
    <t>業務時間</t>
  </si>
  <si>
    <t>作業内容</t>
  </si>
  <si>
    <t>【注意事項】</t>
  </si>
  <si>
    <t>①作業内容をできる限り具体的に記入してください。</t>
  </si>
  <si>
    <t>②当月末営業日もしくは翌月1日までに</t>
  </si>
  <si>
    <t>　記載のメールの宛先に送っていただきますようお願いいたします。</t>
  </si>
  <si>
    <t>③対象年月を変更する場合は「J3」で対象年月をリストより選択してください。</t>
  </si>
  <si>
    <t>　(日付・曜日が自動変更されます)</t>
  </si>
  <si>
    <t>作業日数</t>
  </si>
  <si>
    <t>作業時間合計</t>
  </si>
  <si>
    <t>■その他事項（進捗や品質，課題について報告・共有事項があれば以下に記載）</t>
  </si>
  <si>
    <t>承認印</t>
  </si>
  <si>
    <t>★左記の承認印欄に現場上長の判子をいただいてください。</t>
  </si>
  <si>
    <t>株式会社LIFULL</t>
    <phoneticPr fontId="8"/>
  </si>
  <si>
    <t>松原　明臣</t>
    <rPh sb="0" eb="2">
      <t>マツバラ</t>
    </rPh>
    <rPh sb="3" eb="5">
      <t>ヒロオm</t>
    </rPh>
    <phoneticPr fontId="8"/>
  </si>
  <si>
    <t>【宛先】
　レバテック株式会社
　〒150-6190
　　東京都渋谷区渋谷2-24-12 渋谷スクランブルスクエア24階
　　TEL：03-5774-1762</t>
    <phoneticPr fontId="8"/>
  </si>
  <si>
    <t>作業報告書</t>
    <phoneticPr fontId="8"/>
  </si>
  <si>
    <t>コーディング、ミーティング（出社勤務）</t>
    <rPh sb="14" eb="16">
      <t>シュッセィア</t>
    </rPh>
    <phoneticPr fontId="8"/>
  </si>
  <si>
    <t>コーディング、ミーティング（在宅勤務）</t>
    <rPh sb="14" eb="16">
      <t>ザイタク</t>
    </rPh>
    <phoneticPr fontId="8"/>
  </si>
  <si>
    <t>2020年2月〜　現場での指示により遅刻免除措置適用中（11:00までの遅刻を免除、限定運用により終了時期は別途案内予定）
2020年3月30日〜　原則在宅勤務に変更（事前報告、勤務開始／終了の報告は別途行う必要あり）
2021年1月4日〜　原則週5日在宅勤務に変更
押印不要で現場確認済み</t>
    <phoneticPr fontId="8"/>
  </si>
  <si>
    <t>コーディング（在宅勤務）</t>
    <rPh sb="7" eb="9">
      <t>ザイタク</t>
    </rPh>
    <phoneticPr fontId="8"/>
  </si>
  <si>
    <t>コーディング、ミーティング（在宅勤務、勉強会参加のためその他休憩あり）</t>
    <rPh sb="14" eb="16">
      <t>ザイタク</t>
    </rPh>
    <rPh sb="19" eb="24">
      <t>ベンキョウ</t>
    </rPh>
    <phoneticPr fontId="8"/>
  </si>
  <si>
    <t>祝日</t>
    <rPh sb="0" eb="2">
      <t>シュク</t>
    </rPh>
    <phoneticPr fontId="8"/>
  </si>
  <si>
    <t>コーディング（在宅勤務、私用のため午前休）</t>
    <rPh sb="7" eb="9">
      <t>ザイタク</t>
    </rPh>
    <rPh sb="12" eb="14">
      <t>シヨウ</t>
    </rPh>
    <rPh sb="17" eb="20">
      <t>ゴゼンキュ</t>
    </rPh>
    <phoneticPr fontId="8"/>
  </si>
  <si>
    <t>コーディング（在宅勤務、私用のため午後休）</t>
    <rPh sb="7" eb="9">
      <t>ザイタク</t>
    </rPh>
    <rPh sb="12" eb="14">
      <t>シヨウ</t>
    </rPh>
    <rPh sb="17" eb="19">
      <t>ゴゴ</t>
    </rPh>
    <rPh sb="19" eb="20">
      <t>ゴゼンキュ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</si>
</sst>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mm"/>
    <numFmt numFmtId="177" formatCode="dd"/>
    <numFmt numFmtId="178" formatCode="[h]:mm"/>
    <numFmt numFmtId="179" formatCode="0.00_);[Red]\(0.00\)"/>
    <numFmt numFmtId="180" formatCode="yyyy&quot;年&quot;m&quot;月&quot;;@"/>
  </numFmts>
  <fonts count="9">
    <font>
      <sz val="11"/>
      <name val="ＭＳ Ｐゴシック"/>
      <charset val="128"/>
    </font>
    <font>
      <sz val="11"/>
      <name val="ＭＳ 明朝"/>
      <family val="1"/>
      <charset val="128"/>
    </font>
    <font>
      <b/>
      <sz val="22"/>
      <name val="ＭＳ 明朝"/>
      <family val="1"/>
      <charset val="128"/>
    </font>
    <font>
      <u/>
      <sz val="11"/>
      <color indexed="12"/>
      <name val="ＭＳ 明朝"/>
      <family val="1"/>
      <charset val="128"/>
    </font>
    <font>
      <b/>
      <sz val="11"/>
      <name val="ＭＳ 明朝"/>
      <family val="1"/>
      <charset val="128"/>
    </font>
    <font>
      <sz val="11"/>
      <color indexed="10"/>
      <name val="ＭＳ 明朝"/>
      <family val="1"/>
      <charset val="128"/>
    </font>
    <font>
      <b/>
      <sz val="11"/>
      <color indexed="10"/>
      <name val="ＭＳ 明朝"/>
      <family val="1"/>
      <charset val="128"/>
    </font>
    <font>
      <u/>
      <sz val="11"/>
      <color indexed="12"/>
      <name val="ＭＳ Ｐゴシック"/>
      <family val="2"/>
      <charset val="128"/>
    </font>
    <font>
      <sz val="6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 shrinkToFit="1"/>
    </xf>
    <xf numFmtId="177" fontId="1" fillId="0" borderId="2" xfId="0" applyNumberFormat="1" applyFont="1" applyBorder="1" applyAlignment="1">
      <alignment horizontal="center" vertical="center" shrinkToFit="1"/>
    </xf>
    <xf numFmtId="20" fontId="1" fillId="0" borderId="2" xfId="0" applyNumberFormat="1" applyFont="1" applyBorder="1" applyAlignment="1">
      <alignment horizontal="center" vertical="center" shrinkToFit="1"/>
    </xf>
    <xf numFmtId="176" fontId="1" fillId="0" borderId="3" xfId="0" applyNumberFormat="1" applyFont="1" applyBorder="1" applyAlignment="1">
      <alignment horizontal="center" vertical="center" shrinkToFit="1"/>
    </xf>
    <xf numFmtId="177" fontId="1" fillId="0" borderId="3" xfId="0" applyNumberFormat="1" applyFont="1" applyBorder="1" applyAlignment="1">
      <alignment horizontal="center" vertical="center" shrinkToFit="1"/>
    </xf>
    <xf numFmtId="0" fontId="1" fillId="0" borderId="4" xfId="0" applyFont="1" applyBorder="1">
      <alignment vertical="center"/>
    </xf>
    <xf numFmtId="0" fontId="4" fillId="3" borderId="4" xfId="0" applyFont="1" applyFill="1" applyBorder="1" applyAlignment="1">
      <alignment horizontal="center" vertical="center"/>
    </xf>
    <xf numFmtId="178" fontId="1" fillId="0" borderId="5" xfId="0" applyNumberFormat="1" applyFont="1" applyBorder="1" applyAlignment="1">
      <alignment horizontal="center" vertical="center" shrinkToFit="1"/>
    </xf>
    <xf numFmtId="0" fontId="6" fillId="2" borderId="0" xfId="0" applyFont="1" applyFill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55" fontId="1" fillId="0" borderId="0" xfId="0" applyNumberFormat="1" applyFont="1" applyAlignment="1">
      <alignment horizontal="center" vertical="center"/>
    </xf>
    <xf numFmtId="55" fontId="1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179" fontId="1" fillId="2" borderId="0" xfId="0" applyNumberFormat="1" applyFont="1" applyFill="1">
      <alignment vertical="center"/>
    </xf>
    <xf numFmtId="178" fontId="1" fillId="0" borderId="0" xfId="0" applyNumberFormat="1" applyFont="1">
      <alignment vertical="center"/>
    </xf>
    <xf numFmtId="178" fontId="4" fillId="0" borderId="0" xfId="0" applyNumberFormat="1" applyFont="1">
      <alignment vertical="center"/>
    </xf>
    <xf numFmtId="0" fontId="5" fillId="2" borderId="0" xfId="0" applyFont="1" applyFill="1" applyAlignment="1">
      <alignment horizontal="right" vertical="center"/>
    </xf>
    <xf numFmtId="178" fontId="4" fillId="2" borderId="0" xfId="0" applyNumberFormat="1" applyFont="1" applyFill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176" fontId="1" fillId="0" borderId="7" xfId="0" applyNumberFormat="1" applyFont="1" applyBorder="1" applyAlignment="1">
      <alignment vertical="center" shrinkToFit="1"/>
    </xf>
    <xf numFmtId="176" fontId="1" fillId="0" borderId="8" xfId="0" applyNumberFormat="1" applyFont="1" applyBorder="1" applyAlignment="1">
      <alignment vertical="center" shrinkToFit="1"/>
    </xf>
    <xf numFmtId="176" fontId="1" fillId="0" borderId="9" xfId="0" applyNumberFormat="1" applyFont="1" applyBorder="1" applyAlignment="1">
      <alignment vertical="center" shrinkToFit="1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0" fontId="1" fillId="0" borderId="4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right" vertical="center" wrapText="1"/>
    </xf>
    <xf numFmtId="0" fontId="3" fillId="2" borderId="0" xfId="1" applyFont="1" applyFill="1" applyAlignment="1">
      <alignment horizontal="left" vertical="center" wrapText="1"/>
    </xf>
    <xf numFmtId="0" fontId="1" fillId="2" borderId="15" xfId="0" applyFont="1" applyFill="1" applyBorder="1" applyAlignment="1">
      <alignment horizontal="left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533"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1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5"/>
        </patternFill>
      </fill>
    </dxf>
    <dxf>
      <fill>
        <patternFill patternType="solid">
          <fgColor indexed="64"/>
          <bgColor indexed="4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eport@leverages.j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29"/>
  <sheetViews>
    <sheetView showGridLines="0" tabSelected="1" view="pageBreakPreview" zoomScale="125" zoomScaleNormal="100" zoomScaleSheetLayoutView="100" workbookViewId="0">
      <selection sqref="A1:L1"/>
    </sheetView>
  </sheetViews>
  <sheetFormatPr baseColWidth="10" defaultColWidth="9" defaultRowHeight="15" customHeight="1"/>
  <cols>
    <col min="1" max="1" width="2.6640625" style="1" customWidth="1"/>
    <col min="2" max="3" width="3.83203125" style="2" bestFit="1" customWidth="1"/>
    <col min="4" max="4" width="6" style="2" bestFit="1" customWidth="1"/>
    <col min="5" max="8" width="10.33203125" style="2" bestFit="1" customWidth="1"/>
    <col min="9" max="9" width="15" style="2" bestFit="1" customWidth="1"/>
    <col min="10" max="10" width="25.6640625" style="2" customWidth="1"/>
    <col min="11" max="11" width="8.1640625" style="2" bestFit="1" customWidth="1"/>
    <col min="12" max="12" width="2.6640625" style="1" customWidth="1"/>
    <col min="13" max="13" width="8.6640625" style="2" customWidth="1"/>
    <col min="14" max="14" width="11.6640625" style="2" hidden="1" customWidth="1"/>
    <col min="15" max="15" width="9" style="2"/>
    <col min="16" max="16" width="10" style="2" bestFit="1" customWidth="1"/>
    <col min="17" max="17" width="9" style="2"/>
    <col min="18" max="18" width="7.83203125" style="2" customWidth="1"/>
    <col min="19" max="16384" width="9" style="2"/>
  </cols>
  <sheetData>
    <row r="1" spans="1:19" ht="34.5" customHeight="1">
      <c r="A1" s="47" t="s">
        <v>31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21"/>
      <c r="N1" s="1"/>
      <c r="O1" s="22">
        <f>H42</f>
        <v>6.177083333333333</v>
      </c>
      <c r="P1" s="19">
        <v>5.833333333333333</v>
      </c>
      <c r="Q1" s="19" t="str">
        <f>_xlfn.CONCAT("→：約",HOUR((O1-P1)/8),"日可能")</f>
        <v>→：約1日可能</v>
      </c>
      <c r="R1" s="20"/>
      <c r="S1" s="20" t="str">
        <f>IF(((180/24)-$O$1)&gt;0,_xlfn.CONCAT("今月の超過分まで：あと",HOUR((180/24)-$O$1),"時間"),"時間超過")</f>
        <v>今月の超過分まで：あと7時間</v>
      </c>
    </row>
    <row r="2" spans="1:19" ht="10" customHeight="1">
      <c r="B2" s="1"/>
      <c r="C2" s="1"/>
      <c r="D2" s="1"/>
      <c r="E2" s="1"/>
      <c r="F2" s="1"/>
      <c r="G2" s="1"/>
      <c r="H2" s="1"/>
      <c r="I2" s="1"/>
      <c r="J2" s="1"/>
      <c r="K2" s="1"/>
      <c r="M2" s="12"/>
      <c r="N2" s="1"/>
      <c r="O2" s="1"/>
      <c r="S2" s="19"/>
    </row>
    <row r="3" spans="1:19" ht="20.25" customHeight="1">
      <c r="B3" s="25" t="s">
        <v>30</v>
      </c>
      <c r="C3" s="25"/>
      <c r="D3" s="25"/>
      <c r="E3" s="25"/>
      <c r="F3" s="25"/>
      <c r="G3" s="25"/>
      <c r="H3" s="26"/>
      <c r="I3" s="10" t="s">
        <v>0</v>
      </c>
      <c r="J3" s="48">
        <v>45536</v>
      </c>
      <c r="K3" s="48"/>
      <c r="M3" s="13" t="s">
        <v>1</v>
      </c>
    </row>
    <row r="4" spans="1:19" ht="20.25" customHeight="1">
      <c r="B4" s="25"/>
      <c r="C4" s="25"/>
      <c r="D4" s="25"/>
      <c r="E4" s="25"/>
      <c r="F4" s="25"/>
      <c r="G4" s="25"/>
      <c r="H4" s="26"/>
      <c r="I4" s="52" t="s">
        <v>2</v>
      </c>
      <c r="J4" s="24" t="s">
        <v>28</v>
      </c>
      <c r="K4" s="24"/>
      <c r="M4" s="14"/>
    </row>
    <row r="5" spans="1:19" ht="20.25" customHeight="1">
      <c r="B5" s="25"/>
      <c r="C5" s="25"/>
      <c r="D5" s="25"/>
      <c r="E5" s="25"/>
      <c r="F5" s="25"/>
      <c r="G5" s="25"/>
      <c r="H5" s="26"/>
      <c r="I5" s="53"/>
      <c r="J5" s="24"/>
      <c r="K5" s="24"/>
      <c r="M5" s="14"/>
    </row>
    <row r="6" spans="1:19" ht="20.25" customHeight="1">
      <c r="B6" s="25"/>
      <c r="C6" s="25"/>
      <c r="D6" s="25"/>
      <c r="E6" s="25"/>
      <c r="F6" s="25"/>
      <c r="G6" s="25"/>
      <c r="H6" s="26"/>
      <c r="I6" s="33" t="s">
        <v>3</v>
      </c>
      <c r="J6" s="45" t="s">
        <v>29</v>
      </c>
      <c r="K6" s="46" t="s">
        <v>4</v>
      </c>
      <c r="M6" s="13" t="s">
        <v>5</v>
      </c>
    </row>
    <row r="7" spans="1:19" ht="20.25" customHeight="1">
      <c r="B7" s="49" t="s">
        <v>6</v>
      </c>
      <c r="C7" s="49"/>
      <c r="D7" s="50" t="s">
        <v>7</v>
      </c>
      <c r="E7" s="25"/>
      <c r="F7" s="25"/>
      <c r="G7" s="25"/>
      <c r="H7" s="25"/>
      <c r="I7" s="33"/>
      <c r="J7" s="45"/>
      <c r="K7" s="46"/>
      <c r="M7" s="14"/>
    </row>
    <row r="8" spans="1:19" ht="10" customHeight="1">
      <c r="B8" s="1"/>
      <c r="C8" s="1"/>
      <c r="D8" s="1"/>
      <c r="E8" s="1"/>
      <c r="F8" s="1"/>
      <c r="G8" s="1"/>
      <c r="H8" s="1"/>
      <c r="I8" s="1"/>
      <c r="J8" s="1"/>
      <c r="K8" s="1"/>
      <c r="M8" s="14"/>
    </row>
    <row r="9" spans="1:19" ht="20.25" customHeight="1">
      <c r="B9" s="51" t="s">
        <v>8</v>
      </c>
      <c r="C9" s="51"/>
      <c r="D9" s="51"/>
      <c r="E9" s="51"/>
      <c r="F9" s="51"/>
      <c r="G9" s="51"/>
      <c r="H9" s="51"/>
      <c r="I9" s="51"/>
      <c r="J9" s="51"/>
      <c r="K9" s="51"/>
      <c r="M9" s="14"/>
    </row>
    <row r="10" spans="1:19" ht="20.25" customHeight="1" thickBot="1">
      <c r="B10" s="3" t="s">
        <v>9</v>
      </c>
      <c r="C10" s="3" t="s">
        <v>10</v>
      </c>
      <c r="D10" s="3" t="s">
        <v>11</v>
      </c>
      <c r="E10" s="3" t="s">
        <v>12</v>
      </c>
      <c r="F10" s="3" t="s">
        <v>13</v>
      </c>
      <c r="G10" s="3" t="s">
        <v>14</v>
      </c>
      <c r="H10" s="3" t="s">
        <v>15</v>
      </c>
      <c r="I10" s="44" t="s">
        <v>16</v>
      </c>
      <c r="J10" s="44"/>
      <c r="K10" s="44"/>
      <c r="M10" s="12" t="s">
        <v>17</v>
      </c>
      <c r="N10" s="1"/>
      <c r="O10" s="1"/>
    </row>
    <row r="11" spans="1:19" ht="20.25" customHeight="1" thickTop="1">
      <c r="B11" s="4">
        <f t="shared" ref="B11:B26" si="0">IF(MONTH(DATE(YEAR($J$3),MONTH($J$3),ROW(A1)))=MONTH($J$3),DATE(YEAR($J$3),MONTH($J$3),ROW(A1)),"")</f>
        <v>45536</v>
      </c>
      <c r="C11" s="5">
        <f t="shared" ref="C11:C41" si="1">B11</f>
        <v>45536</v>
      </c>
      <c r="D11" s="4" t="str">
        <f t="shared" ref="D11:D41" si="2">TEXT(B11,"aaa")</f>
        <v>日</v>
      </c>
      <c r="E11" s="6"/>
      <c r="F11" s="6"/>
      <c r="G11" s="6"/>
      <c r="H11" s="6"/>
      <c r="I11" s="27"/>
      <c r="J11" s="28"/>
      <c r="K11" s="29"/>
      <c r="M11" s="14" t="s">
        <v>18</v>
      </c>
    </row>
    <row r="12" spans="1:19" ht="20.25" customHeight="1">
      <c r="B12" s="4">
        <f t="shared" si="0"/>
        <v>45537</v>
      </c>
      <c r="C12" s="5">
        <f t="shared" si="1"/>
        <v>45537</v>
      </c>
      <c r="D12" s="4" t="str">
        <f t="shared" si="2"/>
        <v>月</v>
      </c>
      <c r="E12" s="6">
        <v>0.41666666666666669</v>
      </c>
      <c r="F12" s="6">
        <v>0.79166666666666663</v>
      </c>
      <c r="G12" s="6">
        <v>7.2916666666666671E-2</v>
      </c>
      <c r="H12" s="6">
        <f t="shared" ref="H12:H15" si="3">IF(OR(E12="",F12=""),0,F12-E12-G12)</f>
        <v>0.30208333333333326</v>
      </c>
      <c r="I12" s="27" t="s">
        <v>36</v>
      </c>
      <c r="J12" s="28"/>
      <c r="K12" s="29"/>
      <c r="M12" s="14" t="s">
        <v>19</v>
      </c>
    </row>
    <row r="13" spans="1:19" ht="20.25" customHeight="1">
      <c r="B13" s="4">
        <f t="shared" si="0"/>
        <v>45538</v>
      </c>
      <c r="C13" s="5">
        <f t="shared" si="1"/>
        <v>45538</v>
      </c>
      <c r="D13" s="4" t="str">
        <f t="shared" si="2"/>
        <v>火</v>
      </c>
      <c r="E13" s="6">
        <v>0.58333333333333337</v>
      </c>
      <c r="F13" s="6">
        <v>0.79166666666666663</v>
      </c>
      <c r="G13" s="6">
        <v>0</v>
      </c>
      <c r="H13" s="6">
        <f t="shared" si="3"/>
        <v>0.20833333333333326</v>
      </c>
      <c r="I13" s="27" t="s">
        <v>38</v>
      </c>
      <c r="J13" s="28"/>
      <c r="K13" s="29"/>
      <c r="M13" s="14" t="s">
        <v>20</v>
      </c>
    </row>
    <row r="14" spans="1:19" ht="20.25" customHeight="1">
      <c r="B14" s="4">
        <f t="shared" si="0"/>
        <v>45539</v>
      </c>
      <c r="C14" s="5">
        <f t="shared" si="1"/>
        <v>45539</v>
      </c>
      <c r="D14" s="4" t="str">
        <f t="shared" si="2"/>
        <v>水</v>
      </c>
      <c r="E14" s="6">
        <v>0.375</v>
      </c>
      <c r="F14" s="6">
        <v>0.79166666666666663</v>
      </c>
      <c r="G14" s="6">
        <v>4.1666666666666664E-2</v>
      </c>
      <c r="H14" s="6">
        <f t="shared" si="3"/>
        <v>0.37499999999999994</v>
      </c>
      <c r="I14" s="27" t="s">
        <v>33</v>
      </c>
      <c r="J14" s="28"/>
      <c r="K14" s="29"/>
      <c r="M14" s="14" t="s">
        <v>21</v>
      </c>
    </row>
    <row r="15" spans="1:19" ht="20.25" customHeight="1">
      <c r="B15" s="4">
        <f t="shared" si="0"/>
        <v>45540</v>
      </c>
      <c r="C15" s="5">
        <f t="shared" si="1"/>
        <v>45540</v>
      </c>
      <c r="D15" s="4" t="str">
        <f t="shared" si="2"/>
        <v>木</v>
      </c>
      <c r="E15" s="6">
        <v>0.45833333333333331</v>
      </c>
      <c r="F15" s="6">
        <v>0.79166666666666663</v>
      </c>
      <c r="G15" s="6">
        <v>4.1666666666666664E-2</v>
      </c>
      <c r="H15" s="6">
        <f t="shared" si="3"/>
        <v>0.29166666666666663</v>
      </c>
      <c r="I15" s="27" t="s">
        <v>32</v>
      </c>
      <c r="J15" s="28"/>
      <c r="K15" s="29"/>
      <c r="M15" s="14" t="s">
        <v>22</v>
      </c>
    </row>
    <row r="16" spans="1:19" ht="20.25" customHeight="1">
      <c r="B16" s="4">
        <f t="shared" si="0"/>
        <v>45541</v>
      </c>
      <c r="C16" s="5">
        <f t="shared" si="1"/>
        <v>45541</v>
      </c>
      <c r="D16" s="4" t="str">
        <f t="shared" si="2"/>
        <v>金</v>
      </c>
      <c r="E16" s="6">
        <v>0.375</v>
      </c>
      <c r="F16" s="6">
        <v>0.79166666666666663</v>
      </c>
      <c r="G16" s="6">
        <v>4.1666666666666664E-2</v>
      </c>
      <c r="H16" s="6">
        <f t="shared" ref="H16" si="4">IF(OR(E16="",F16=""),0,F16-E16-G16)</f>
        <v>0.37499999999999994</v>
      </c>
      <c r="I16" s="27" t="s">
        <v>35</v>
      </c>
      <c r="J16" s="28"/>
      <c r="K16" s="29"/>
      <c r="M16" s="14"/>
    </row>
    <row r="17" spans="2:15" ht="20.25" customHeight="1">
      <c r="B17" s="4">
        <f t="shared" si="0"/>
        <v>45542</v>
      </c>
      <c r="C17" s="5">
        <f t="shared" si="1"/>
        <v>45542</v>
      </c>
      <c r="D17" s="4" t="str">
        <f t="shared" si="2"/>
        <v>土</v>
      </c>
      <c r="E17" s="6"/>
      <c r="F17" s="6"/>
      <c r="G17" s="6"/>
      <c r="H17" s="6"/>
      <c r="I17" s="27"/>
      <c r="J17" s="28"/>
      <c r="K17" s="29"/>
      <c r="N17" s="15">
        <v>42005</v>
      </c>
      <c r="O17" s="15"/>
    </row>
    <row r="18" spans="2:15" ht="20.25" customHeight="1">
      <c r="B18" s="4">
        <f t="shared" si="0"/>
        <v>45543</v>
      </c>
      <c r="C18" s="5">
        <f t="shared" si="1"/>
        <v>45543</v>
      </c>
      <c r="D18" s="4" t="str">
        <f t="shared" si="2"/>
        <v>日</v>
      </c>
      <c r="E18" s="6"/>
      <c r="F18" s="6"/>
      <c r="G18" s="6"/>
      <c r="H18" s="6"/>
      <c r="I18" s="27"/>
      <c r="J18" s="28"/>
      <c r="K18" s="29"/>
      <c r="N18" s="16">
        <v>42036</v>
      </c>
      <c r="O18" s="15"/>
    </row>
    <row r="19" spans="2:15" ht="20.25" customHeight="1">
      <c r="B19" s="4">
        <f t="shared" si="0"/>
        <v>45544</v>
      </c>
      <c r="C19" s="5">
        <f t="shared" si="1"/>
        <v>45544</v>
      </c>
      <c r="D19" s="4" t="str">
        <f t="shared" si="2"/>
        <v>月</v>
      </c>
      <c r="E19" s="6">
        <v>0.375</v>
      </c>
      <c r="F19" s="6">
        <v>0.79166666666666663</v>
      </c>
      <c r="G19" s="6">
        <v>8.3333333333333329E-2</v>
      </c>
      <c r="H19" s="6">
        <f t="shared" ref="H19:H23" si="5">IF(OR(E19="",F19=""),0,F19-E19-G19)</f>
        <v>0.33333333333333331</v>
      </c>
      <c r="I19" s="27" t="s">
        <v>36</v>
      </c>
      <c r="J19" s="28"/>
      <c r="K19" s="29"/>
      <c r="N19" s="15">
        <v>42064</v>
      </c>
      <c r="O19" s="15"/>
    </row>
    <row r="20" spans="2:15" ht="20.25" customHeight="1">
      <c r="B20" s="4">
        <f t="shared" si="0"/>
        <v>45545</v>
      </c>
      <c r="C20" s="5">
        <f t="shared" si="1"/>
        <v>45545</v>
      </c>
      <c r="D20" s="4" t="str">
        <f t="shared" si="2"/>
        <v>火</v>
      </c>
      <c r="E20" s="6">
        <v>0.375</v>
      </c>
      <c r="F20" s="6">
        <v>0.58333333333333337</v>
      </c>
      <c r="G20" s="6">
        <v>4.1666666666666664E-2</v>
      </c>
      <c r="H20" s="6">
        <f t="shared" si="5"/>
        <v>0.16666666666666671</v>
      </c>
      <c r="I20" s="27" t="s">
        <v>39</v>
      </c>
      <c r="J20" s="28"/>
      <c r="K20" s="29"/>
      <c r="N20" s="16">
        <v>42095</v>
      </c>
      <c r="O20" s="15"/>
    </row>
    <row r="21" spans="2:15" ht="20.25" customHeight="1">
      <c r="B21" s="4">
        <f t="shared" si="0"/>
        <v>45546</v>
      </c>
      <c r="C21" s="5">
        <f t="shared" si="1"/>
        <v>45546</v>
      </c>
      <c r="D21" s="4" t="str">
        <f t="shared" si="2"/>
        <v>水</v>
      </c>
      <c r="E21" s="6">
        <v>0.375</v>
      </c>
      <c r="F21" s="6">
        <v>0.79166666666666663</v>
      </c>
      <c r="G21" s="6">
        <v>4.1666666666666664E-2</v>
      </c>
      <c r="H21" s="6">
        <f t="shared" si="5"/>
        <v>0.37499999999999994</v>
      </c>
      <c r="I21" s="27" t="s">
        <v>33</v>
      </c>
      <c r="J21" s="28"/>
      <c r="K21" s="29"/>
      <c r="N21" s="15">
        <v>42125</v>
      </c>
      <c r="O21" s="15"/>
    </row>
    <row r="22" spans="2:15" ht="20.25" customHeight="1">
      <c r="B22" s="4">
        <f t="shared" si="0"/>
        <v>45547</v>
      </c>
      <c r="C22" s="5">
        <f t="shared" si="1"/>
        <v>45547</v>
      </c>
      <c r="D22" s="4" t="str">
        <f t="shared" si="2"/>
        <v>木</v>
      </c>
      <c r="E22" s="6">
        <v>0.45833333333333331</v>
      </c>
      <c r="F22" s="6">
        <v>0.79166666666666663</v>
      </c>
      <c r="G22" s="6">
        <v>4.1666666666666664E-2</v>
      </c>
      <c r="H22" s="6">
        <f t="shared" si="5"/>
        <v>0.29166666666666663</v>
      </c>
      <c r="I22" s="27" t="s">
        <v>32</v>
      </c>
      <c r="J22" s="28"/>
      <c r="K22" s="29"/>
      <c r="N22" s="16">
        <v>42156</v>
      </c>
      <c r="O22" s="15"/>
    </row>
    <row r="23" spans="2:15" ht="20.25" customHeight="1">
      <c r="B23" s="4">
        <f t="shared" si="0"/>
        <v>45548</v>
      </c>
      <c r="C23" s="5">
        <f t="shared" si="1"/>
        <v>45548</v>
      </c>
      <c r="D23" s="4" t="str">
        <f t="shared" si="2"/>
        <v>金</v>
      </c>
      <c r="E23" s="6">
        <v>0.375</v>
      </c>
      <c r="F23" s="6">
        <v>0.79166666666666663</v>
      </c>
      <c r="G23" s="6">
        <v>4.1666666666666664E-2</v>
      </c>
      <c r="H23" s="6">
        <f t="shared" si="5"/>
        <v>0.37499999999999994</v>
      </c>
      <c r="I23" s="27" t="s">
        <v>35</v>
      </c>
      <c r="J23" s="28"/>
      <c r="K23" s="29"/>
      <c r="N23" s="15">
        <v>42186</v>
      </c>
      <c r="O23" s="15"/>
    </row>
    <row r="24" spans="2:15" ht="20.25" customHeight="1">
      <c r="B24" s="4">
        <f t="shared" si="0"/>
        <v>45549</v>
      </c>
      <c r="C24" s="5">
        <f>B24</f>
        <v>45549</v>
      </c>
      <c r="D24" s="4" t="str">
        <f>TEXT(B24,"aaa")</f>
        <v>土</v>
      </c>
      <c r="E24" s="6"/>
      <c r="F24" s="6"/>
      <c r="G24" s="6"/>
      <c r="H24" s="6"/>
      <c r="I24" s="27"/>
      <c r="J24" s="28"/>
      <c r="K24" s="29"/>
      <c r="N24" s="16">
        <v>42217</v>
      </c>
      <c r="O24" s="15"/>
    </row>
    <row r="25" spans="2:15" ht="20.25" customHeight="1">
      <c r="B25" s="4">
        <f t="shared" si="0"/>
        <v>45550</v>
      </c>
      <c r="C25" s="5">
        <f t="shared" si="1"/>
        <v>45550</v>
      </c>
      <c r="D25" s="4" t="str">
        <f t="shared" si="2"/>
        <v>日</v>
      </c>
      <c r="E25" s="6"/>
      <c r="F25" s="6"/>
      <c r="G25" s="6"/>
      <c r="H25" s="6"/>
      <c r="I25" s="27"/>
      <c r="J25" s="28"/>
      <c r="K25" s="29"/>
      <c r="N25" s="15">
        <v>42248</v>
      </c>
      <c r="O25" s="15"/>
    </row>
    <row r="26" spans="2:15" ht="20.25" customHeight="1">
      <c r="B26" s="4">
        <f t="shared" si="0"/>
        <v>45551</v>
      </c>
      <c r="C26" s="5">
        <f t="shared" si="1"/>
        <v>45551</v>
      </c>
      <c r="D26" s="4" t="str">
        <f t="shared" si="2"/>
        <v>月</v>
      </c>
      <c r="E26" s="6"/>
      <c r="F26" s="6"/>
      <c r="G26" s="6"/>
      <c r="H26" s="6"/>
      <c r="I26" s="27" t="s">
        <v>37</v>
      </c>
      <c r="J26" s="28"/>
      <c r="K26" s="29"/>
      <c r="N26" s="16">
        <v>42278</v>
      </c>
      <c r="O26" s="15"/>
    </row>
    <row r="27" spans="2:15" ht="20.25" customHeight="1">
      <c r="B27" s="4">
        <f t="shared" ref="B27:B41" si="6">IF(MONTH(DATE(YEAR($J$3),MONTH($J$3),ROW(A17)))=MONTH($J$3),DATE(YEAR($J$3),MONTH($J$3),ROW(A17)),"")</f>
        <v>45552</v>
      </c>
      <c r="C27" s="5">
        <f t="shared" si="1"/>
        <v>45552</v>
      </c>
      <c r="D27" s="4" t="str">
        <f t="shared" si="2"/>
        <v>火</v>
      </c>
      <c r="E27" s="6">
        <v>0.375</v>
      </c>
      <c r="F27" s="6">
        <v>0.79166666666666663</v>
      </c>
      <c r="G27" s="6">
        <v>8.3333333333333329E-2</v>
      </c>
      <c r="H27" s="6">
        <f t="shared" ref="H27" si="7">IF(OR(E27="",F27=""),0,F27-E27-G27)</f>
        <v>0.33333333333333331</v>
      </c>
      <c r="I27" s="27" t="s">
        <v>36</v>
      </c>
      <c r="J27" s="28"/>
      <c r="K27" s="29"/>
      <c r="N27" s="15">
        <v>42309</v>
      </c>
      <c r="O27" s="15"/>
    </row>
    <row r="28" spans="2:15" ht="20.25" customHeight="1">
      <c r="B28" s="4">
        <f t="shared" si="6"/>
        <v>45553</v>
      </c>
      <c r="C28" s="5">
        <f t="shared" si="1"/>
        <v>45553</v>
      </c>
      <c r="D28" s="4" t="str">
        <f t="shared" si="2"/>
        <v>水</v>
      </c>
      <c r="E28" s="6">
        <v>0.375</v>
      </c>
      <c r="F28" s="6">
        <v>0.79166666666666663</v>
      </c>
      <c r="G28" s="6">
        <v>4.1666666666666664E-2</v>
      </c>
      <c r="H28" s="6">
        <f t="shared" ref="H28:H30" si="8">IF(OR(E28="",F28=""),0,F28-E28-G28)</f>
        <v>0.37499999999999994</v>
      </c>
      <c r="I28" s="27" t="s">
        <v>33</v>
      </c>
      <c r="J28" s="28"/>
      <c r="K28" s="29"/>
      <c r="N28" s="16">
        <v>42339</v>
      </c>
      <c r="O28" s="15"/>
    </row>
    <row r="29" spans="2:15" ht="20.25" customHeight="1">
      <c r="B29" s="4">
        <f t="shared" si="6"/>
        <v>45554</v>
      </c>
      <c r="C29" s="5">
        <f t="shared" si="1"/>
        <v>45554</v>
      </c>
      <c r="D29" s="4" t="str">
        <f t="shared" si="2"/>
        <v>木</v>
      </c>
      <c r="E29" s="6">
        <v>0.45833333333333331</v>
      </c>
      <c r="F29" s="6">
        <v>0.79166666666666663</v>
      </c>
      <c r="G29" s="6">
        <v>4.1666666666666664E-2</v>
      </c>
      <c r="H29" s="6">
        <f t="shared" si="8"/>
        <v>0.29166666666666663</v>
      </c>
      <c r="I29" s="27" t="s">
        <v>32</v>
      </c>
      <c r="J29" s="28"/>
      <c r="K29" s="29"/>
      <c r="N29" s="15">
        <v>42370</v>
      </c>
      <c r="O29" s="15"/>
    </row>
    <row r="30" spans="2:15" ht="20.25" customHeight="1">
      <c r="B30" s="4">
        <f t="shared" si="6"/>
        <v>45555</v>
      </c>
      <c r="C30" s="5">
        <f t="shared" si="1"/>
        <v>45555</v>
      </c>
      <c r="D30" s="4" t="str">
        <f t="shared" si="2"/>
        <v>金</v>
      </c>
      <c r="E30" s="6">
        <v>0.375</v>
      </c>
      <c r="F30" s="6">
        <v>0.79166666666666663</v>
      </c>
      <c r="G30" s="6">
        <v>4.1666666666666664E-2</v>
      </c>
      <c r="H30" s="6">
        <f t="shared" si="8"/>
        <v>0.37499999999999994</v>
      </c>
      <c r="I30" s="27" t="s">
        <v>35</v>
      </c>
      <c r="J30" s="28"/>
      <c r="K30" s="29"/>
      <c r="N30" s="16">
        <v>42401</v>
      </c>
      <c r="O30" s="15"/>
    </row>
    <row r="31" spans="2:15" ht="20.25" customHeight="1">
      <c r="B31" s="4">
        <f t="shared" si="6"/>
        <v>45556</v>
      </c>
      <c r="C31" s="5">
        <f t="shared" si="1"/>
        <v>45556</v>
      </c>
      <c r="D31" s="4" t="str">
        <f t="shared" si="2"/>
        <v>土</v>
      </c>
      <c r="E31" s="6"/>
      <c r="F31" s="6"/>
      <c r="G31" s="6"/>
      <c r="H31" s="6"/>
      <c r="I31" s="27"/>
      <c r="J31" s="28"/>
      <c r="K31" s="29"/>
      <c r="N31" s="15">
        <v>42430</v>
      </c>
      <c r="O31" s="15"/>
    </row>
    <row r="32" spans="2:15" ht="20.25" customHeight="1">
      <c r="B32" s="4">
        <f t="shared" si="6"/>
        <v>45557</v>
      </c>
      <c r="C32" s="5">
        <f t="shared" si="1"/>
        <v>45557</v>
      </c>
      <c r="D32" s="4" t="str">
        <f t="shared" si="2"/>
        <v>日</v>
      </c>
      <c r="E32" s="6"/>
      <c r="F32" s="6"/>
      <c r="G32" s="6"/>
      <c r="H32" s="6"/>
      <c r="I32" s="27"/>
      <c r="J32" s="28"/>
      <c r="K32" s="29"/>
      <c r="N32" s="16">
        <v>42461</v>
      </c>
      <c r="O32" s="15"/>
    </row>
    <row r="33" spans="2:15" ht="20.25" customHeight="1">
      <c r="B33" s="4">
        <f t="shared" si="6"/>
        <v>45558</v>
      </c>
      <c r="C33" s="5">
        <f t="shared" si="1"/>
        <v>45558</v>
      </c>
      <c r="D33" s="4" t="str">
        <f t="shared" si="2"/>
        <v>月</v>
      </c>
      <c r="E33" s="6"/>
      <c r="F33" s="6"/>
      <c r="G33" s="6"/>
      <c r="H33" s="6"/>
      <c r="I33" s="27" t="s">
        <v>37</v>
      </c>
      <c r="J33" s="28"/>
      <c r="K33" s="29"/>
      <c r="N33" s="15">
        <v>42491</v>
      </c>
      <c r="O33" s="15"/>
    </row>
    <row r="34" spans="2:15" ht="20.25" customHeight="1">
      <c r="B34" s="4">
        <f t="shared" si="6"/>
        <v>45559</v>
      </c>
      <c r="C34" s="5">
        <f t="shared" si="1"/>
        <v>45559</v>
      </c>
      <c r="D34" s="4" t="str">
        <f t="shared" si="2"/>
        <v>火</v>
      </c>
      <c r="E34" s="6">
        <v>0.375</v>
      </c>
      <c r="F34" s="6">
        <v>0.79166666666666663</v>
      </c>
      <c r="G34" s="6">
        <v>8.3333333333333329E-2</v>
      </c>
      <c r="H34" s="6">
        <f t="shared" ref="H34" si="9">IF(OR(E34="",F34=""),0,F34-E34-G34)</f>
        <v>0.33333333333333331</v>
      </c>
      <c r="I34" s="27" t="s">
        <v>36</v>
      </c>
      <c r="J34" s="28"/>
      <c r="K34" s="29"/>
      <c r="N34" s="16">
        <v>42522</v>
      </c>
      <c r="O34" s="15"/>
    </row>
    <row r="35" spans="2:15" ht="20.25" customHeight="1">
      <c r="B35" s="4">
        <f t="shared" si="6"/>
        <v>45560</v>
      </c>
      <c r="C35" s="5">
        <f t="shared" si="1"/>
        <v>45560</v>
      </c>
      <c r="D35" s="4" t="str">
        <f t="shared" si="2"/>
        <v>水</v>
      </c>
      <c r="E35" s="6">
        <v>0.375</v>
      </c>
      <c r="F35" s="6">
        <v>0.79166666666666663</v>
      </c>
      <c r="G35" s="6">
        <v>4.1666666666666664E-2</v>
      </c>
      <c r="H35" s="6">
        <f t="shared" ref="H35:H37" si="10">IF(OR(E35="",F35=""),0,F35-E35-G35)</f>
        <v>0.37499999999999994</v>
      </c>
      <c r="I35" s="27" t="s">
        <v>33</v>
      </c>
      <c r="J35" s="28"/>
      <c r="K35" s="29"/>
      <c r="N35" s="15">
        <v>42552</v>
      </c>
      <c r="O35" s="15"/>
    </row>
    <row r="36" spans="2:15" ht="20.25" customHeight="1">
      <c r="B36" s="4">
        <f t="shared" si="6"/>
        <v>45561</v>
      </c>
      <c r="C36" s="5">
        <f t="shared" si="1"/>
        <v>45561</v>
      </c>
      <c r="D36" s="4" t="str">
        <f t="shared" si="2"/>
        <v>木</v>
      </c>
      <c r="E36" s="6">
        <v>0.45833333333333331</v>
      </c>
      <c r="F36" s="6">
        <v>0.79166666666666663</v>
      </c>
      <c r="G36" s="6">
        <v>4.1666666666666664E-2</v>
      </c>
      <c r="H36" s="6">
        <f t="shared" si="10"/>
        <v>0.29166666666666663</v>
      </c>
      <c r="I36" s="27" t="s">
        <v>32</v>
      </c>
      <c r="J36" s="28"/>
      <c r="K36" s="29"/>
      <c r="N36" s="16">
        <v>42583</v>
      </c>
      <c r="O36" s="15"/>
    </row>
    <row r="37" spans="2:15" ht="20.25" customHeight="1">
      <c r="B37" s="4">
        <f t="shared" si="6"/>
        <v>45562</v>
      </c>
      <c r="C37" s="5">
        <f t="shared" si="1"/>
        <v>45562</v>
      </c>
      <c r="D37" s="4" t="str">
        <f t="shared" si="2"/>
        <v>金</v>
      </c>
      <c r="E37" s="6">
        <v>0.375</v>
      </c>
      <c r="F37" s="6">
        <v>0.79166666666666663</v>
      </c>
      <c r="G37" s="6">
        <v>4.1666666666666664E-2</v>
      </c>
      <c r="H37" s="6">
        <f t="shared" si="10"/>
        <v>0.37499999999999994</v>
      </c>
      <c r="I37" s="27" t="s">
        <v>35</v>
      </c>
      <c r="J37" s="28"/>
      <c r="K37" s="29"/>
      <c r="N37" s="15">
        <v>42614</v>
      </c>
      <c r="O37" s="15"/>
    </row>
    <row r="38" spans="2:15" ht="20.25" customHeight="1">
      <c r="B38" s="4">
        <f t="shared" si="6"/>
        <v>45563</v>
      </c>
      <c r="C38" s="5">
        <f t="shared" si="1"/>
        <v>45563</v>
      </c>
      <c r="D38" s="4" t="str">
        <f t="shared" si="2"/>
        <v>土</v>
      </c>
      <c r="E38" s="6"/>
      <c r="F38" s="6"/>
      <c r="G38" s="6"/>
      <c r="H38" s="6"/>
      <c r="I38" s="27"/>
      <c r="J38" s="28"/>
      <c r="K38" s="29"/>
      <c r="N38" s="16">
        <v>42644</v>
      </c>
      <c r="O38" s="15"/>
    </row>
    <row r="39" spans="2:15" ht="20.25" customHeight="1">
      <c r="B39" s="4">
        <f t="shared" si="6"/>
        <v>45564</v>
      </c>
      <c r="C39" s="5">
        <f t="shared" si="1"/>
        <v>45564</v>
      </c>
      <c r="D39" s="4" t="str">
        <f t="shared" si="2"/>
        <v>日</v>
      </c>
      <c r="E39" s="6"/>
      <c r="F39" s="6"/>
      <c r="G39" s="6"/>
      <c r="H39" s="6"/>
      <c r="I39" s="27"/>
      <c r="J39" s="28"/>
      <c r="K39" s="29"/>
      <c r="N39" s="15">
        <v>42675</v>
      </c>
      <c r="O39" s="15"/>
    </row>
    <row r="40" spans="2:15" ht="20.25" customHeight="1">
      <c r="B40" s="4">
        <f t="shared" si="6"/>
        <v>45565</v>
      </c>
      <c r="C40" s="5">
        <f t="shared" si="1"/>
        <v>45565</v>
      </c>
      <c r="D40" s="4" t="str">
        <f t="shared" si="2"/>
        <v>月</v>
      </c>
      <c r="E40" s="6">
        <v>0.375</v>
      </c>
      <c r="F40" s="6">
        <v>0.79166666666666663</v>
      </c>
      <c r="G40" s="6">
        <v>8.3333333333333329E-2</v>
      </c>
      <c r="H40" s="6">
        <f t="shared" ref="H40" si="11">IF(OR(E40="",F40=""),0,F40-E40-G40)</f>
        <v>0.33333333333333331</v>
      </c>
      <c r="I40" s="27" t="s">
        <v>36</v>
      </c>
      <c r="J40" s="28"/>
      <c r="K40" s="29"/>
      <c r="N40" s="16">
        <v>42705</v>
      </c>
      <c r="O40" s="15"/>
    </row>
    <row r="41" spans="2:15" ht="20.25" customHeight="1">
      <c r="B41" s="7" t="str">
        <f t="shared" si="6"/>
        <v/>
      </c>
      <c r="C41" s="8" t="str">
        <f t="shared" si="1"/>
        <v/>
      </c>
      <c r="D41" s="7" t="str">
        <f t="shared" si="2"/>
        <v/>
      </c>
      <c r="E41" s="6"/>
      <c r="F41" s="6"/>
      <c r="G41" s="6"/>
      <c r="H41" s="6"/>
      <c r="I41" s="27"/>
      <c r="J41" s="28"/>
      <c r="K41" s="29"/>
      <c r="N41" s="15">
        <v>42736</v>
      </c>
      <c r="O41" s="15"/>
    </row>
    <row r="42" spans="2:15" ht="20.25" customHeight="1">
      <c r="B42" s="30" t="s">
        <v>23</v>
      </c>
      <c r="C42" s="31"/>
      <c r="D42" s="32"/>
      <c r="E42" s="9">
        <f>COUNTA(E11:E41)</f>
        <v>19</v>
      </c>
      <c r="F42" s="32" t="s">
        <v>24</v>
      </c>
      <c r="G42" s="33"/>
      <c r="H42" s="11">
        <f>SUM(H11:H41)</f>
        <v>6.177083333333333</v>
      </c>
      <c r="I42" s="18"/>
      <c r="J42" s="1"/>
      <c r="K42" s="1"/>
      <c r="N42" s="16">
        <v>42767</v>
      </c>
      <c r="O42" s="15"/>
    </row>
    <row r="43" spans="2:15" s="1" customFormat="1" ht="10" customHeight="1">
      <c r="N43" s="15">
        <v>42795</v>
      </c>
      <c r="O43" s="16"/>
    </row>
    <row r="44" spans="2:15" ht="20.25" customHeight="1">
      <c r="B44" s="43" t="s">
        <v>25</v>
      </c>
      <c r="C44" s="43"/>
      <c r="D44" s="43"/>
      <c r="E44" s="43"/>
      <c r="F44" s="43"/>
      <c r="G44" s="43"/>
      <c r="H44" s="43"/>
      <c r="I44" s="43"/>
      <c r="J44" s="43"/>
      <c r="K44" s="43"/>
      <c r="N44" s="16">
        <v>42826</v>
      </c>
      <c r="O44" s="15"/>
    </row>
    <row r="45" spans="2:15" ht="20.25" customHeight="1">
      <c r="B45" s="34" t="s">
        <v>34</v>
      </c>
      <c r="C45" s="35"/>
      <c r="D45" s="35"/>
      <c r="E45" s="35"/>
      <c r="F45" s="35"/>
      <c r="G45" s="35"/>
      <c r="H45" s="35"/>
      <c r="I45" s="35"/>
      <c r="J45" s="35"/>
      <c r="K45" s="36"/>
      <c r="N45" s="15">
        <v>42856</v>
      </c>
      <c r="O45" s="15"/>
    </row>
    <row r="46" spans="2:15" ht="20.25" customHeight="1">
      <c r="B46" s="37"/>
      <c r="C46" s="38"/>
      <c r="D46" s="38"/>
      <c r="E46" s="38"/>
      <c r="F46" s="38"/>
      <c r="G46" s="38"/>
      <c r="H46" s="38"/>
      <c r="I46" s="38"/>
      <c r="J46" s="38"/>
      <c r="K46" s="39"/>
      <c r="N46" s="16">
        <v>42887</v>
      </c>
      <c r="O46" s="15"/>
    </row>
    <row r="47" spans="2:15" ht="20.25" customHeight="1">
      <c r="B47" s="37"/>
      <c r="C47" s="38"/>
      <c r="D47" s="38"/>
      <c r="E47" s="38"/>
      <c r="F47" s="38"/>
      <c r="G47" s="38"/>
      <c r="H47" s="38"/>
      <c r="I47" s="38"/>
      <c r="J47" s="38"/>
      <c r="K47" s="39"/>
      <c r="N47" s="15">
        <v>42917</v>
      </c>
      <c r="O47" s="15"/>
    </row>
    <row r="48" spans="2:15" ht="20.25" customHeight="1">
      <c r="B48" s="40"/>
      <c r="C48" s="41"/>
      <c r="D48" s="41"/>
      <c r="E48" s="41"/>
      <c r="F48" s="41"/>
      <c r="G48" s="41"/>
      <c r="H48" s="41"/>
      <c r="I48" s="41"/>
      <c r="J48" s="41"/>
      <c r="K48" s="42"/>
      <c r="N48" s="15">
        <v>42948</v>
      </c>
      <c r="O48" s="15"/>
    </row>
    <row r="49" spans="2:21" ht="10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M49" s="1"/>
      <c r="N49" s="16">
        <v>42979</v>
      </c>
      <c r="O49" s="15"/>
    </row>
    <row r="50" spans="2:21" ht="20.25" customHeight="1">
      <c r="B50" s="1"/>
      <c r="C50" s="1"/>
      <c r="D50" s="1"/>
      <c r="E50" s="1"/>
      <c r="F50" s="1"/>
      <c r="G50" s="1"/>
      <c r="H50" s="1"/>
      <c r="I50" s="1"/>
      <c r="J50" s="1"/>
      <c r="K50" s="10" t="s">
        <v>26</v>
      </c>
      <c r="M50" s="1"/>
      <c r="N50" s="15">
        <v>43009</v>
      </c>
      <c r="O50" s="15"/>
    </row>
    <row r="51" spans="2:21" ht="20.25" customHeight="1">
      <c r="B51" s="1"/>
      <c r="C51" s="1"/>
      <c r="D51" s="1"/>
      <c r="E51" s="1"/>
      <c r="F51" s="1"/>
      <c r="G51" s="1"/>
      <c r="H51" s="1"/>
      <c r="I51" s="1"/>
      <c r="J51" s="1"/>
      <c r="K51" s="23"/>
      <c r="M51" s="12" t="s">
        <v>27</v>
      </c>
      <c r="N51" s="16">
        <v>43040</v>
      </c>
      <c r="O51" s="17"/>
      <c r="P51" s="17"/>
      <c r="Q51" s="17"/>
      <c r="R51" s="17"/>
      <c r="S51" s="17"/>
      <c r="T51" s="17"/>
      <c r="U51" s="17"/>
    </row>
    <row r="52" spans="2:21" ht="20.25" customHeight="1">
      <c r="B52" s="1"/>
      <c r="C52" s="1"/>
      <c r="D52" s="1"/>
      <c r="E52" s="1"/>
      <c r="F52" s="1"/>
      <c r="G52" s="1"/>
      <c r="H52" s="1"/>
      <c r="I52" s="1"/>
      <c r="J52" s="1"/>
      <c r="K52" s="23"/>
      <c r="M52" s="17"/>
      <c r="N52" s="15">
        <v>43070</v>
      </c>
      <c r="O52" s="17"/>
      <c r="P52" s="17"/>
      <c r="Q52" s="17"/>
      <c r="R52" s="17"/>
      <c r="S52" s="17"/>
      <c r="T52" s="17"/>
      <c r="U52" s="17"/>
    </row>
    <row r="53" spans="2:21" ht="10" customHeight="1">
      <c r="N53" s="16">
        <v>43101</v>
      </c>
      <c r="O53" s="15"/>
    </row>
    <row r="54" spans="2:21" ht="15" customHeight="1">
      <c r="N54" s="15">
        <v>43132</v>
      </c>
      <c r="O54" s="15"/>
    </row>
    <row r="55" spans="2:21" ht="15" customHeight="1">
      <c r="N55" s="16">
        <v>43160</v>
      </c>
      <c r="O55" s="15"/>
    </row>
    <row r="56" spans="2:21" ht="15" customHeight="1">
      <c r="N56" s="15">
        <v>43191</v>
      </c>
      <c r="O56" s="15"/>
    </row>
    <row r="57" spans="2:21" ht="15" customHeight="1">
      <c r="N57" s="16">
        <v>43221</v>
      </c>
      <c r="O57" s="15"/>
    </row>
    <row r="58" spans="2:21" ht="15" customHeight="1">
      <c r="N58" s="15">
        <v>43252</v>
      </c>
      <c r="O58" s="15"/>
    </row>
    <row r="59" spans="2:21" ht="15" customHeight="1">
      <c r="N59" s="16">
        <v>43282</v>
      </c>
      <c r="O59" s="15"/>
    </row>
    <row r="60" spans="2:21" ht="15" customHeight="1">
      <c r="N60" s="15">
        <v>43313</v>
      </c>
      <c r="O60" s="15"/>
    </row>
    <row r="61" spans="2:21" ht="15" customHeight="1">
      <c r="N61" s="16">
        <v>43344</v>
      </c>
      <c r="O61" s="15"/>
    </row>
    <row r="62" spans="2:21" ht="15" customHeight="1">
      <c r="N62" s="15">
        <v>43374</v>
      </c>
      <c r="O62" s="15"/>
    </row>
    <row r="63" spans="2:21" ht="15" customHeight="1">
      <c r="N63" s="16">
        <v>43405</v>
      </c>
      <c r="O63" s="15"/>
    </row>
    <row r="64" spans="2:21" ht="15" customHeight="1">
      <c r="N64" s="15">
        <v>43435</v>
      </c>
      <c r="O64" s="15"/>
    </row>
    <row r="65" spans="14:15" ht="15" customHeight="1">
      <c r="N65" s="16">
        <v>43466</v>
      </c>
      <c r="O65" s="15"/>
    </row>
    <row r="66" spans="14:15" ht="15" customHeight="1">
      <c r="N66" s="15">
        <v>43497</v>
      </c>
      <c r="O66" s="15"/>
    </row>
    <row r="67" spans="14:15" ht="15" customHeight="1">
      <c r="N67" s="16">
        <v>43525</v>
      </c>
      <c r="O67" s="15"/>
    </row>
    <row r="68" spans="14:15" ht="15" customHeight="1">
      <c r="N68" s="15">
        <v>43556</v>
      </c>
      <c r="O68" s="15"/>
    </row>
    <row r="69" spans="14:15" ht="15" customHeight="1">
      <c r="N69" s="16">
        <v>43586</v>
      </c>
      <c r="O69" s="15"/>
    </row>
    <row r="70" spans="14:15" ht="15" customHeight="1">
      <c r="N70" s="15">
        <v>43617</v>
      </c>
      <c r="O70" s="15"/>
    </row>
    <row r="71" spans="14:15" ht="15" customHeight="1">
      <c r="N71" s="16">
        <v>43647</v>
      </c>
      <c r="O71" s="15"/>
    </row>
    <row r="72" spans="14:15" ht="15" customHeight="1">
      <c r="N72" s="15">
        <v>43678</v>
      </c>
      <c r="O72" s="15"/>
    </row>
    <row r="73" spans="14:15" ht="15" customHeight="1">
      <c r="N73" s="16">
        <v>43709</v>
      </c>
      <c r="O73" s="15"/>
    </row>
    <row r="74" spans="14:15" ht="15" customHeight="1">
      <c r="N74" s="15">
        <v>43739</v>
      </c>
      <c r="O74" s="15"/>
    </row>
    <row r="75" spans="14:15" ht="15" customHeight="1">
      <c r="N75" s="16">
        <v>43770</v>
      </c>
      <c r="O75" s="15"/>
    </row>
    <row r="76" spans="14:15" ht="15" customHeight="1">
      <c r="N76" s="15">
        <v>43800</v>
      </c>
      <c r="O76" s="15"/>
    </row>
    <row r="77" spans="14:15" ht="15" customHeight="1">
      <c r="N77" s="16">
        <v>43831</v>
      </c>
      <c r="O77" s="15"/>
    </row>
    <row r="78" spans="14:15" ht="15" customHeight="1">
      <c r="N78" s="15">
        <v>43862</v>
      </c>
      <c r="O78" s="15"/>
    </row>
    <row r="79" spans="14:15" ht="15" customHeight="1">
      <c r="N79" s="15">
        <v>43891</v>
      </c>
      <c r="O79" s="15"/>
    </row>
    <row r="80" spans="14:15" ht="15" customHeight="1">
      <c r="N80" s="16">
        <v>43922</v>
      </c>
      <c r="O80" s="15"/>
    </row>
    <row r="81" spans="14:15" ht="15" customHeight="1">
      <c r="N81" s="15">
        <v>43952</v>
      </c>
      <c r="O81" s="15"/>
    </row>
    <row r="82" spans="14:15" ht="15" customHeight="1">
      <c r="N82" s="16">
        <v>43983</v>
      </c>
      <c r="O82" s="15"/>
    </row>
    <row r="83" spans="14:15" ht="15" customHeight="1">
      <c r="N83" s="15">
        <v>44013</v>
      </c>
      <c r="O83" s="15"/>
    </row>
    <row r="84" spans="14:15" ht="15" customHeight="1">
      <c r="N84" s="16">
        <v>44044</v>
      </c>
      <c r="O84" s="15"/>
    </row>
    <row r="85" spans="14:15" ht="15" customHeight="1">
      <c r="N85" s="15">
        <v>44075</v>
      </c>
      <c r="O85" s="15"/>
    </row>
    <row r="86" spans="14:15" ht="15" customHeight="1">
      <c r="N86" s="16">
        <v>44105</v>
      </c>
      <c r="O86" s="15"/>
    </row>
    <row r="87" spans="14:15" ht="15" customHeight="1">
      <c r="N87" s="15">
        <v>44136</v>
      </c>
      <c r="O87" s="15"/>
    </row>
    <row r="88" spans="14:15" ht="15" customHeight="1">
      <c r="N88" s="16">
        <v>44166</v>
      </c>
      <c r="O88" s="15"/>
    </row>
    <row r="89" spans="14:15" ht="15" customHeight="1">
      <c r="N89" s="15">
        <v>44197</v>
      </c>
      <c r="O89" s="15"/>
    </row>
    <row r="90" spans="14:15" ht="15" customHeight="1">
      <c r="N90" s="16">
        <v>44228</v>
      </c>
      <c r="O90" s="15"/>
    </row>
    <row r="91" spans="14:15" ht="15" customHeight="1">
      <c r="N91" s="15">
        <v>44256</v>
      </c>
      <c r="O91" s="15"/>
    </row>
    <row r="92" spans="14:15" ht="15" customHeight="1">
      <c r="N92" s="16">
        <v>44287</v>
      </c>
      <c r="O92" s="15"/>
    </row>
    <row r="93" spans="14:15" ht="15" customHeight="1">
      <c r="N93" s="15">
        <v>44317</v>
      </c>
      <c r="O93" s="15"/>
    </row>
    <row r="94" spans="14:15" ht="15" customHeight="1">
      <c r="N94" s="16">
        <v>44348</v>
      </c>
      <c r="O94" s="15"/>
    </row>
    <row r="95" spans="14:15" ht="15" customHeight="1">
      <c r="N95" s="15">
        <v>44378</v>
      </c>
      <c r="O95" s="15"/>
    </row>
    <row r="96" spans="14:15" ht="15" customHeight="1">
      <c r="N96" s="16">
        <v>44409</v>
      </c>
      <c r="O96" s="15"/>
    </row>
    <row r="97" spans="14:15" ht="15" customHeight="1">
      <c r="N97" s="15">
        <v>44440</v>
      </c>
      <c r="O97" s="15"/>
    </row>
    <row r="98" spans="14:15" ht="15" customHeight="1">
      <c r="N98" s="16">
        <v>44470</v>
      </c>
      <c r="O98" s="15"/>
    </row>
    <row r="99" spans="14:15" ht="15" customHeight="1">
      <c r="N99" s="15">
        <v>44501</v>
      </c>
      <c r="O99" s="15"/>
    </row>
    <row r="100" spans="14:15" ht="15" customHeight="1">
      <c r="N100" s="16">
        <v>44531</v>
      </c>
      <c r="O100" s="15"/>
    </row>
    <row r="101" spans="14:15" ht="15" customHeight="1">
      <c r="N101" s="15">
        <v>44562</v>
      </c>
      <c r="O101" s="15"/>
    </row>
    <row r="102" spans="14:15" ht="15" customHeight="1">
      <c r="N102" s="16">
        <v>44593</v>
      </c>
      <c r="O102" s="15"/>
    </row>
    <row r="103" spans="14:15" ht="15" customHeight="1">
      <c r="N103" s="15">
        <v>44621</v>
      </c>
      <c r="O103" s="15"/>
    </row>
    <row r="104" spans="14:15" ht="15" customHeight="1">
      <c r="N104" s="16">
        <v>44652</v>
      </c>
      <c r="O104" s="15"/>
    </row>
    <row r="105" spans="14:15" ht="15" customHeight="1">
      <c r="N105" s="15">
        <v>44682</v>
      </c>
      <c r="O105" s="15"/>
    </row>
    <row r="106" spans="14:15" ht="15" customHeight="1">
      <c r="N106" s="16">
        <v>44713</v>
      </c>
      <c r="O106" s="15"/>
    </row>
    <row r="107" spans="14:15" ht="15" customHeight="1">
      <c r="N107" s="15">
        <v>44743</v>
      </c>
      <c r="O107" s="15"/>
    </row>
    <row r="108" spans="14:15" ht="15" customHeight="1">
      <c r="N108" s="16">
        <v>44774</v>
      </c>
      <c r="O108" s="15"/>
    </row>
    <row r="109" spans="14:15" ht="15" customHeight="1">
      <c r="N109" s="15">
        <v>44805</v>
      </c>
      <c r="O109" s="15"/>
    </row>
    <row r="110" spans="14:15" ht="15" customHeight="1">
      <c r="N110" s="15">
        <v>44835</v>
      </c>
      <c r="O110" s="15"/>
    </row>
    <row r="111" spans="14:15" ht="15" customHeight="1">
      <c r="N111" s="16">
        <v>44866</v>
      </c>
      <c r="O111" s="15"/>
    </row>
    <row r="112" spans="14:15" ht="15" customHeight="1">
      <c r="N112" s="15">
        <v>44896</v>
      </c>
      <c r="O112" s="15"/>
    </row>
    <row r="113" spans="14:15" ht="15" customHeight="1">
      <c r="N113" s="16">
        <v>44927</v>
      </c>
      <c r="O113" s="15"/>
    </row>
    <row r="114" spans="14:15" ht="15" customHeight="1">
      <c r="N114" s="15">
        <v>44958</v>
      </c>
      <c r="O114" s="15"/>
    </row>
    <row r="115" spans="14:15" ht="15" customHeight="1">
      <c r="N115" s="16">
        <v>44986</v>
      </c>
      <c r="O115" s="15"/>
    </row>
    <row r="116" spans="14:15" ht="15" customHeight="1">
      <c r="N116" s="15">
        <v>45017</v>
      </c>
      <c r="O116" s="15"/>
    </row>
    <row r="117" spans="14:15" ht="15" customHeight="1">
      <c r="N117" s="16">
        <v>45047</v>
      </c>
      <c r="O117" s="15"/>
    </row>
    <row r="118" spans="14:15" ht="15" customHeight="1">
      <c r="N118" s="15">
        <v>45078</v>
      </c>
      <c r="O118" s="15"/>
    </row>
    <row r="119" spans="14:15" ht="15" customHeight="1">
      <c r="N119" s="16">
        <v>45108</v>
      </c>
      <c r="O119" s="15"/>
    </row>
    <row r="120" spans="14:15" ht="15" customHeight="1">
      <c r="N120" s="15">
        <v>45139</v>
      </c>
      <c r="O120" s="15"/>
    </row>
    <row r="121" spans="14:15" ht="15" customHeight="1">
      <c r="N121" s="16">
        <v>45170</v>
      </c>
      <c r="O121" s="15"/>
    </row>
    <row r="122" spans="14:15" ht="15" customHeight="1">
      <c r="N122" s="15">
        <v>45200</v>
      </c>
      <c r="O122" s="15"/>
    </row>
    <row r="123" spans="14:15" ht="15" customHeight="1">
      <c r="N123" s="16">
        <v>45231</v>
      </c>
      <c r="O123" s="15"/>
    </row>
    <row r="124" spans="14:15" ht="15" customHeight="1">
      <c r="N124" s="15">
        <v>45261</v>
      </c>
      <c r="O124" s="15"/>
    </row>
    <row r="125" spans="14:15" ht="15" customHeight="1">
      <c r="N125" s="16">
        <v>45292</v>
      </c>
      <c r="O125" s="15"/>
    </row>
    <row r="126" spans="14:15" ht="15" customHeight="1">
      <c r="N126" s="15">
        <v>45323</v>
      </c>
      <c r="O126" s="15"/>
    </row>
    <row r="127" spans="14:15" ht="15" customHeight="1">
      <c r="N127" s="16">
        <v>45352</v>
      </c>
      <c r="O127" s="15"/>
    </row>
    <row r="128" spans="14:15" ht="15" customHeight="1">
      <c r="N128" s="15">
        <v>45383</v>
      </c>
      <c r="O128" s="15"/>
    </row>
    <row r="129" spans="14:15" ht="15" customHeight="1">
      <c r="N129" s="16">
        <v>45413</v>
      </c>
      <c r="O129" s="15"/>
    </row>
    <row r="130" spans="14:15" ht="15" customHeight="1">
      <c r="N130" s="15">
        <v>45444</v>
      </c>
      <c r="O130" s="15"/>
    </row>
    <row r="131" spans="14:15" ht="15" customHeight="1">
      <c r="N131" s="16">
        <v>45474</v>
      </c>
      <c r="O131" s="15"/>
    </row>
    <row r="132" spans="14:15" ht="15" customHeight="1">
      <c r="N132" s="15">
        <v>45505</v>
      </c>
      <c r="O132" s="15"/>
    </row>
    <row r="133" spans="14:15" ht="15" customHeight="1">
      <c r="N133" s="16">
        <v>45536</v>
      </c>
      <c r="O133" s="15"/>
    </row>
    <row r="134" spans="14:15" ht="15" customHeight="1">
      <c r="N134" s="15">
        <v>45566</v>
      </c>
      <c r="O134" s="15"/>
    </row>
    <row r="135" spans="14:15" ht="15" customHeight="1">
      <c r="N135" s="16">
        <v>45597</v>
      </c>
      <c r="O135" s="15"/>
    </row>
    <row r="136" spans="14:15" ht="15" customHeight="1">
      <c r="N136" s="15">
        <v>45627</v>
      </c>
      <c r="O136" s="15"/>
    </row>
    <row r="137" spans="14:15" ht="15" customHeight="1">
      <c r="N137" s="16">
        <v>45658</v>
      </c>
      <c r="O137" s="15"/>
    </row>
    <row r="138" spans="14:15" ht="15" customHeight="1">
      <c r="N138" s="15">
        <v>45689</v>
      </c>
      <c r="O138" s="15"/>
    </row>
    <row r="139" spans="14:15" ht="15" customHeight="1">
      <c r="N139" s="16">
        <v>45717</v>
      </c>
      <c r="O139" s="15"/>
    </row>
    <row r="140" spans="14:15" ht="15" customHeight="1">
      <c r="N140" s="15">
        <v>45748</v>
      </c>
      <c r="O140" s="15"/>
    </row>
    <row r="141" spans="14:15" ht="15" customHeight="1">
      <c r="N141" s="15">
        <v>45778</v>
      </c>
      <c r="O141" s="15"/>
    </row>
    <row r="142" spans="14:15" ht="15" customHeight="1">
      <c r="N142" s="16">
        <v>45809</v>
      </c>
      <c r="O142" s="15"/>
    </row>
    <row r="143" spans="14:15" ht="15" customHeight="1">
      <c r="N143" s="15">
        <v>45839</v>
      </c>
      <c r="O143" s="15"/>
    </row>
    <row r="144" spans="14:15" ht="15" customHeight="1">
      <c r="N144" s="16">
        <v>45870</v>
      </c>
      <c r="O144" s="15"/>
    </row>
    <row r="145" spans="14:15" ht="15" customHeight="1">
      <c r="N145" s="15">
        <v>45901</v>
      </c>
      <c r="O145" s="15"/>
    </row>
    <row r="146" spans="14:15" ht="15" customHeight="1">
      <c r="N146" s="16">
        <v>45931</v>
      </c>
      <c r="O146" s="15"/>
    </row>
    <row r="147" spans="14:15" ht="15" customHeight="1">
      <c r="N147" s="15">
        <v>45962</v>
      </c>
      <c r="O147" s="15"/>
    </row>
    <row r="148" spans="14:15" ht="15" customHeight="1">
      <c r="N148" s="16">
        <v>45992</v>
      </c>
      <c r="O148" s="15"/>
    </row>
    <row r="149" spans="14:15" ht="15" customHeight="1">
      <c r="N149" s="15">
        <v>46023</v>
      </c>
      <c r="O149" s="15"/>
    </row>
    <row r="150" spans="14:15" ht="15" customHeight="1">
      <c r="N150" s="16">
        <v>46054</v>
      </c>
      <c r="O150" s="15"/>
    </row>
    <row r="151" spans="14:15" ht="15" customHeight="1">
      <c r="N151" s="15">
        <v>46082</v>
      </c>
      <c r="O151" s="15"/>
    </row>
    <row r="152" spans="14:15" ht="15" customHeight="1">
      <c r="N152" s="16">
        <v>46113</v>
      </c>
      <c r="O152" s="15"/>
    </row>
    <row r="153" spans="14:15" ht="15" customHeight="1">
      <c r="N153" s="15">
        <v>46143</v>
      </c>
      <c r="O153" s="15"/>
    </row>
    <row r="154" spans="14:15" ht="15" customHeight="1">
      <c r="N154" s="16">
        <v>46174</v>
      </c>
      <c r="O154" s="15"/>
    </row>
    <row r="155" spans="14:15" ht="15" customHeight="1">
      <c r="N155" s="15">
        <v>46204</v>
      </c>
      <c r="O155" s="15"/>
    </row>
    <row r="156" spans="14:15" ht="15" customHeight="1">
      <c r="N156" s="16">
        <v>46235</v>
      </c>
      <c r="O156" s="15"/>
    </row>
    <row r="157" spans="14:15" ht="15" customHeight="1">
      <c r="N157" s="15">
        <v>46266</v>
      </c>
      <c r="O157" s="15"/>
    </row>
    <row r="158" spans="14:15" ht="15" customHeight="1">
      <c r="N158" s="16">
        <v>46296</v>
      </c>
      <c r="O158" s="15"/>
    </row>
    <row r="159" spans="14:15" ht="15" customHeight="1">
      <c r="N159" s="15">
        <v>46327</v>
      </c>
      <c r="O159" s="15"/>
    </row>
    <row r="160" spans="14:15" ht="15" customHeight="1">
      <c r="N160" s="16">
        <v>46357</v>
      </c>
      <c r="O160" s="15"/>
    </row>
    <row r="161" spans="14:15" ht="15" customHeight="1">
      <c r="N161" s="15">
        <v>46388</v>
      </c>
      <c r="O161" s="15"/>
    </row>
    <row r="162" spans="14:15" ht="15" customHeight="1">
      <c r="N162" s="16">
        <v>46419</v>
      </c>
      <c r="O162" s="15"/>
    </row>
    <row r="163" spans="14:15" ht="15" customHeight="1">
      <c r="N163" s="15">
        <v>46447</v>
      </c>
      <c r="O163" s="15"/>
    </row>
    <row r="164" spans="14:15" ht="15" customHeight="1">
      <c r="N164" s="16">
        <v>46478</v>
      </c>
      <c r="O164" s="15"/>
    </row>
    <row r="165" spans="14:15" ht="15" customHeight="1">
      <c r="N165" s="15">
        <v>46508</v>
      </c>
      <c r="O165" s="15"/>
    </row>
    <row r="166" spans="14:15" ht="15" customHeight="1">
      <c r="N166" s="16">
        <v>46539</v>
      </c>
      <c r="O166" s="15"/>
    </row>
    <row r="167" spans="14:15" ht="15" customHeight="1">
      <c r="N167" s="15">
        <v>46569</v>
      </c>
      <c r="O167" s="15"/>
    </row>
    <row r="168" spans="14:15" ht="15" customHeight="1">
      <c r="N168" s="16">
        <v>46600</v>
      </c>
      <c r="O168" s="15"/>
    </row>
    <row r="169" spans="14:15" ht="15" customHeight="1">
      <c r="N169" s="15">
        <v>46631</v>
      </c>
      <c r="O169" s="15"/>
    </row>
    <row r="170" spans="14:15" ht="15" customHeight="1">
      <c r="N170" s="16">
        <v>46661</v>
      </c>
      <c r="O170" s="15"/>
    </row>
    <row r="171" spans="14:15" ht="15" customHeight="1">
      <c r="N171" s="15">
        <v>46692</v>
      </c>
      <c r="O171" s="15"/>
    </row>
    <row r="172" spans="14:15" ht="15" customHeight="1">
      <c r="N172" s="15">
        <v>46722</v>
      </c>
      <c r="O172" s="15"/>
    </row>
    <row r="173" spans="14:15" ht="15" customHeight="1">
      <c r="N173" s="16">
        <v>46753</v>
      </c>
      <c r="O173" s="15"/>
    </row>
    <row r="174" spans="14:15" ht="15" customHeight="1">
      <c r="N174" s="15">
        <v>46784</v>
      </c>
      <c r="O174" s="15"/>
    </row>
    <row r="175" spans="14:15" ht="15" customHeight="1">
      <c r="N175" s="16">
        <v>46813</v>
      </c>
      <c r="O175" s="15"/>
    </row>
    <row r="176" spans="14:15" ht="15" customHeight="1">
      <c r="N176" s="15">
        <v>46844</v>
      </c>
      <c r="O176" s="15"/>
    </row>
    <row r="177" spans="14:15" ht="15" customHeight="1">
      <c r="N177" s="16">
        <v>46874</v>
      </c>
      <c r="O177" s="15"/>
    </row>
    <row r="178" spans="14:15" ht="15" customHeight="1">
      <c r="N178" s="15">
        <v>46905</v>
      </c>
      <c r="O178" s="15"/>
    </row>
    <row r="179" spans="14:15" ht="15" customHeight="1">
      <c r="N179" s="16">
        <v>46935</v>
      </c>
      <c r="O179" s="15"/>
    </row>
    <row r="180" spans="14:15" ht="15" customHeight="1">
      <c r="N180" s="15">
        <v>46966</v>
      </c>
      <c r="O180" s="15"/>
    </row>
    <row r="181" spans="14:15" ht="15" customHeight="1">
      <c r="N181" s="16">
        <v>46997</v>
      </c>
      <c r="O181" s="15"/>
    </row>
    <row r="182" spans="14:15" ht="15" customHeight="1">
      <c r="N182" s="15">
        <v>47027</v>
      </c>
      <c r="O182" s="15"/>
    </row>
    <row r="183" spans="14:15" ht="15" customHeight="1">
      <c r="N183" s="16">
        <v>47058</v>
      </c>
      <c r="O183" s="15"/>
    </row>
    <row r="184" spans="14:15" ht="15" customHeight="1">
      <c r="N184" s="15">
        <v>47088</v>
      </c>
      <c r="O184" s="15"/>
    </row>
    <row r="185" spans="14:15" ht="15" customHeight="1">
      <c r="N185" s="16">
        <v>47119</v>
      </c>
      <c r="O185" s="15"/>
    </row>
    <row r="186" spans="14:15" ht="15" customHeight="1">
      <c r="N186" s="15">
        <v>47150</v>
      </c>
      <c r="O186" s="15"/>
    </row>
    <row r="187" spans="14:15" ht="15" customHeight="1">
      <c r="N187" s="16">
        <v>47178</v>
      </c>
      <c r="O187" s="15"/>
    </row>
    <row r="188" spans="14:15" ht="15" customHeight="1">
      <c r="N188" s="15">
        <v>47209</v>
      </c>
      <c r="O188" s="15"/>
    </row>
    <row r="189" spans="14:15" ht="15" customHeight="1">
      <c r="N189" s="16">
        <v>47239</v>
      </c>
      <c r="O189" s="15"/>
    </row>
    <row r="190" spans="14:15" ht="15" customHeight="1">
      <c r="N190" s="15">
        <v>47270</v>
      </c>
      <c r="O190" s="15"/>
    </row>
    <row r="191" spans="14:15" ht="15" customHeight="1">
      <c r="N191" s="16">
        <v>47300</v>
      </c>
      <c r="O191" s="15"/>
    </row>
    <row r="192" spans="14:15" ht="15" customHeight="1">
      <c r="N192" s="15">
        <v>47331</v>
      </c>
      <c r="O192" s="15"/>
    </row>
    <row r="193" spans="14:15" ht="15" customHeight="1">
      <c r="N193" s="16">
        <v>47362</v>
      </c>
      <c r="O193" s="15"/>
    </row>
    <row r="194" spans="14:15" ht="15" customHeight="1">
      <c r="N194" s="15">
        <v>47392</v>
      </c>
      <c r="O194" s="15"/>
    </row>
    <row r="195" spans="14:15" ht="15" customHeight="1">
      <c r="N195" s="16">
        <v>47423</v>
      </c>
      <c r="O195" s="15"/>
    </row>
    <row r="196" spans="14:15" ht="15" customHeight="1">
      <c r="N196" s="15">
        <v>47453</v>
      </c>
      <c r="O196" s="15"/>
    </row>
    <row r="197" spans="14:15" ht="15" customHeight="1">
      <c r="N197" s="16">
        <v>47484</v>
      </c>
      <c r="O197" s="15"/>
    </row>
    <row r="198" spans="14:15" ht="15" customHeight="1">
      <c r="N198" s="15">
        <v>47515</v>
      </c>
      <c r="O198" s="15"/>
    </row>
    <row r="199" spans="14:15" ht="15" customHeight="1">
      <c r="N199" s="16">
        <v>47543</v>
      </c>
      <c r="O199" s="15"/>
    </row>
    <row r="200" spans="14:15" ht="15" customHeight="1">
      <c r="N200" s="15">
        <v>47574</v>
      </c>
      <c r="O200" s="15"/>
    </row>
    <row r="201" spans="14:15" ht="15" customHeight="1">
      <c r="N201" s="16">
        <v>47604</v>
      </c>
      <c r="O201" s="15"/>
    </row>
    <row r="202" spans="14:15" ht="15" customHeight="1">
      <c r="N202" s="15">
        <v>47635</v>
      </c>
      <c r="O202" s="15"/>
    </row>
    <row r="203" spans="14:15" ht="15" customHeight="1">
      <c r="N203" s="15">
        <v>47665</v>
      </c>
      <c r="O203" s="15"/>
    </row>
    <row r="204" spans="14:15" ht="15" customHeight="1">
      <c r="N204" s="16">
        <v>47696</v>
      </c>
      <c r="O204" s="15"/>
    </row>
    <row r="205" spans="14:15" ht="15" customHeight="1">
      <c r="N205" s="15">
        <v>47727</v>
      </c>
      <c r="O205" s="15"/>
    </row>
    <row r="206" spans="14:15" ht="15" customHeight="1">
      <c r="N206" s="16">
        <v>47757</v>
      </c>
      <c r="O206" s="15"/>
    </row>
    <row r="207" spans="14:15" ht="15" customHeight="1">
      <c r="N207" s="15">
        <v>47788</v>
      </c>
      <c r="O207" s="15"/>
    </row>
    <row r="208" spans="14:15" ht="15" customHeight="1">
      <c r="N208" s="15">
        <v>47818</v>
      </c>
      <c r="O208" s="15"/>
    </row>
    <row r="209" spans="15:15" ht="15" customHeight="1">
      <c r="O209" s="15"/>
    </row>
    <row r="210" spans="15:15" ht="15" customHeight="1">
      <c r="O210" s="15"/>
    </row>
    <row r="211" spans="15:15" ht="15" customHeight="1">
      <c r="O211" s="15"/>
    </row>
    <row r="212" spans="15:15" ht="15" customHeight="1">
      <c r="O212" s="15"/>
    </row>
    <row r="213" spans="15:15" ht="15" customHeight="1">
      <c r="O213" s="15"/>
    </row>
    <row r="214" spans="15:15" ht="15" customHeight="1">
      <c r="O214" s="15"/>
    </row>
    <row r="215" spans="15:15" ht="15" customHeight="1">
      <c r="O215" s="15"/>
    </row>
    <row r="216" spans="15:15" ht="15" customHeight="1">
      <c r="O216" s="15"/>
    </row>
    <row r="217" spans="15:15" ht="15" customHeight="1">
      <c r="O217" s="15"/>
    </row>
    <row r="218" spans="15:15" ht="15" customHeight="1">
      <c r="O218" s="15"/>
    </row>
    <row r="219" spans="15:15" ht="15" customHeight="1">
      <c r="O219" s="15"/>
    </row>
    <row r="220" spans="15:15" ht="15" customHeight="1">
      <c r="O220" s="15"/>
    </row>
    <row r="221" spans="15:15" ht="15" customHeight="1">
      <c r="O221" s="15"/>
    </row>
    <row r="222" spans="15:15" ht="15" customHeight="1">
      <c r="O222" s="15"/>
    </row>
    <row r="223" spans="15:15" ht="15" customHeight="1">
      <c r="O223" s="15"/>
    </row>
    <row r="224" spans="15:15" ht="15" customHeight="1">
      <c r="O224" s="15"/>
    </row>
    <row r="225" spans="15:15" ht="15" customHeight="1">
      <c r="O225" s="15"/>
    </row>
    <row r="226" spans="15:15" ht="15" customHeight="1">
      <c r="O226" s="15"/>
    </row>
    <row r="227" spans="15:15" ht="15" customHeight="1">
      <c r="O227" s="15"/>
    </row>
    <row r="228" spans="15:15" ht="15" customHeight="1">
      <c r="O228" s="15"/>
    </row>
    <row r="229" spans="15:15" ht="15" customHeight="1">
      <c r="O229" s="15"/>
    </row>
  </sheetData>
  <customSheetViews>
    <customSheetView guid="{26A10500-03CE-7149-B1AD-E6C9140E2124}" showPageBreaks="1" showGridLines="0" fitToPage="1" printArea="1" hiddenColumns="1" view="pageBreakPreview">
      <selection activeCell="I12" sqref="I12:K12"/>
      <pageMargins left="0" right="0" top="0" bottom="0" header="0" footer="0"/>
      <printOptions horizontalCentered="1" verticalCentered="1"/>
      <pageSetup paperSize="9" scale="79" orientation="portrait"/>
      <headerFooter alignWithMargins="0"/>
    </customSheetView>
  </customSheetViews>
  <mergeCells count="48">
    <mergeCell ref="I10:K10"/>
    <mergeCell ref="J6:J7"/>
    <mergeCell ref="K6:K7"/>
    <mergeCell ref="A1:L1"/>
    <mergeCell ref="J3:K3"/>
    <mergeCell ref="B7:C7"/>
    <mergeCell ref="D7:H7"/>
    <mergeCell ref="B9:K9"/>
    <mergeCell ref="I4:I5"/>
    <mergeCell ref="I22:K22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I21:K21"/>
    <mergeCell ref="I28:K28"/>
    <mergeCell ref="I39:K39"/>
    <mergeCell ref="I40:K40"/>
    <mergeCell ref="I29:K29"/>
    <mergeCell ref="I30:K30"/>
    <mergeCell ref="I31:K31"/>
    <mergeCell ref="I32:K32"/>
    <mergeCell ref="I33:K33"/>
    <mergeCell ref="I34:K34"/>
    <mergeCell ref="I35:K35"/>
    <mergeCell ref="I36:K36"/>
    <mergeCell ref="K51:K52"/>
    <mergeCell ref="J4:K5"/>
    <mergeCell ref="B3:H6"/>
    <mergeCell ref="I41:K41"/>
    <mergeCell ref="B42:D42"/>
    <mergeCell ref="F42:G42"/>
    <mergeCell ref="I6:I7"/>
    <mergeCell ref="B45:K48"/>
    <mergeCell ref="B44:K44"/>
    <mergeCell ref="I37:K37"/>
    <mergeCell ref="I38:K38"/>
    <mergeCell ref="I23:K23"/>
    <mergeCell ref="I24:K24"/>
    <mergeCell ref="I25:K25"/>
    <mergeCell ref="I26:K26"/>
    <mergeCell ref="I27:K27"/>
  </mergeCells>
  <phoneticPr fontId="8"/>
  <conditionalFormatting sqref="B11:F41">
    <cfRule type="expression" dxfId="532" priority="1992" stopIfTrue="1">
      <formula>$D11="土"</formula>
    </cfRule>
    <cfRule type="expression" dxfId="531" priority="1991" stopIfTrue="1">
      <formula>$D11="日"</formula>
    </cfRule>
  </conditionalFormatting>
  <conditionalFormatting sqref="E11">
    <cfRule type="expression" dxfId="530" priority="717" stopIfTrue="1">
      <formula>$D11="日"</formula>
    </cfRule>
    <cfRule type="expression" dxfId="529" priority="718" stopIfTrue="1">
      <formula>$D11="土"</formula>
    </cfRule>
    <cfRule type="expression" dxfId="528" priority="726" stopIfTrue="1">
      <formula>$D11="土"</formula>
    </cfRule>
    <cfRule type="expression" dxfId="527" priority="725" stopIfTrue="1">
      <formula>$D11="日"</formula>
    </cfRule>
    <cfRule type="expression" dxfId="526" priority="719" stopIfTrue="1">
      <formula>$D11="日"</formula>
    </cfRule>
    <cfRule type="expression" dxfId="525" priority="724" stopIfTrue="1">
      <formula>$D11="土"</formula>
    </cfRule>
    <cfRule type="expression" dxfId="524" priority="723" stopIfTrue="1">
      <formula>$D11="日"</formula>
    </cfRule>
    <cfRule type="expression" dxfId="523" priority="722" stopIfTrue="1">
      <formula>$D11="土"</formula>
    </cfRule>
    <cfRule type="expression" dxfId="522" priority="721" stopIfTrue="1">
      <formula>$D11="日"</formula>
    </cfRule>
    <cfRule type="expression" dxfId="521" priority="720" stopIfTrue="1">
      <formula>$D11="土"</formula>
    </cfRule>
  </conditionalFormatting>
  <conditionalFormatting sqref="E11:E12">
    <cfRule type="expression" dxfId="520" priority="396" stopIfTrue="1">
      <formula>$D11="土"</formula>
    </cfRule>
    <cfRule type="expression" dxfId="519" priority="395" stopIfTrue="1">
      <formula>$D11="日"</formula>
    </cfRule>
  </conditionalFormatting>
  <conditionalFormatting sqref="E11:E17">
    <cfRule type="expression" dxfId="518" priority="728" stopIfTrue="1">
      <formula>$D11="土"</formula>
    </cfRule>
    <cfRule type="expression" dxfId="517" priority="727" stopIfTrue="1">
      <formula>$D11="日"</formula>
    </cfRule>
  </conditionalFormatting>
  <conditionalFormatting sqref="E12:E17 E19:E23">
    <cfRule type="expression" dxfId="516" priority="882" stopIfTrue="1">
      <formula>$D12="土"</formula>
    </cfRule>
    <cfRule type="expression" dxfId="515" priority="881" stopIfTrue="1">
      <formula>$D12="日"</formula>
    </cfRule>
    <cfRule type="expression" dxfId="514" priority="880" stopIfTrue="1">
      <formula>$D12="土"</formula>
    </cfRule>
    <cfRule type="expression" dxfId="513" priority="879" stopIfTrue="1">
      <formula>$D12="日"</formula>
    </cfRule>
    <cfRule type="expression" dxfId="512" priority="883" stopIfTrue="1">
      <formula>$D12="日"</formula>
    </cfRule>
    <cfRule type="expression" dxfId="511" priority="877" stopIfTrue="1">
      <formula>$D12="日"</formula>
    </cfRule>
    <cfRule type="expression" dxfId="510" priority="884" stopIfTrue="1">
      <formula>$D12="土"</formula>
    </cfRule>
    <cfRule type="expression" dxfId="509" priority="885" stopIfTrue="1">
      <formula>$D12="日"</formula>
    </cfRule>
    <cfRule type="expression" dxfId="508" priority="886" stopIfTrue="1">
      <formula>$D12="土"</formula>
    </cfRule>
    <cfRule type="expression" dxfId="507" priority="878" stopIfTrue="1">
      <formula>$D12="土"</formula>
    </cfRule>
  </conditionalFormatting>
  <conditionalFormatting sqref="E12:E17">
    <cfRule type="expression" dxfId="506" priority="876" stopIfTrue="1">
      <formula>$D12="土"</formula>
    </cfRule>
    <cfRule type="expression" dxfId="505" priority="875" stopIfTrue="1">
      <formula>$D12="日"</formula>
    </cfRule>
  </conditionalFormatting>
  <conditionalFormatting sqref="E18">
    <cfRule type="expression" dxfId="504" priority="695" stopIfTrue="1">
      <formula>$D18="日"</formula>
    </cfRule>
    <cfRule type="expression" dxfId="503" priority="696" stopIfTrue="1">
      <formula>$D18="土"</formula>
    </cfRule>
    <cfRule type="expression" dxfId="502" priority="697" stopIfTrue="1">
      <formula>$D18="日"</formula>
    </cfRule>
    <cfRule type="expression" dxfId="501" priority="698" stopIfTrue="1">
      <formula>$D18="土"</formula>
    </cfRule>
    <cfRule type="expression" dxfId="500" priority="694" stopIfTrue="1">
      <formula>$D18="土"</formula>
    </cfRule>
    <cfRule type="expression" dxfId="499" priority="693" stopIfTrue="1">
      <formula>$D18="日"</formula>
    </cfRule>
    <cfRule type="expression" dxfId="498" priority="692" stopIfTrue="1">
      <formula>$D18="土"</formula>
    </cfRule>
    <cfRule type="expression" dxfId="497" priority="691" stopIfTrue="1">
      <formula>$D18="日"</formula>
    </cfRule>
    <cfRule type="expression" dxfId="496" priority="690" stopIfTrue="1">
      <formula>$D18="土"</formula>
    </cfRule>
    <cfRule type="expression" dxfId="495" priority="689" stopIfTrue="1">
      <formula>$D18="日"</formula>
    </cfRule>
  </conditionalFormatting>
  <conditionalFormatting sqref="E18:E23">
    <cfRule type="expression" dxfId="494" priority="277" stopIfTrue="1">
      <formula>$D18="日"</formula>
    </cfRule>
    <cfRule type="expression" dxfId="493" priority="699" stopIfTrue="1">
      <formula>$D18="日"</formula>
    </cfRule>
    <cfRule type="expression" dxfId="492" priority="278" stopIfTrue="1">
      <formula>$D18="土"</formula>
    </cfRule>
    <cfRule type="expression" dxfId="491" priority="700" stopIfTrue="1">
      <formula>$D18="土"</formula>
    </cfRule>
  </conditionalFormatting>
  <conditionalFormatting sqref="E24">
    <cfRule type="expression" dxfId="490" priority="669" stopIfTrue="1">
      <formula>$D24="日"</formula>
    </cfRule>
    <cfRule type="expression" dxfId="489" priority="679" stopIfTrue="1">
      <formula>$D24="日"</formula>
    </cfRule>
    <cfRule type="expression" dxfId="488" priority="680" stopIfTrue="1">
      <formula>$D24="土"</formula>
    </cfRule>
    <cfRule type="expression" dxfId="487" priority="678" stopIfTrue="1">
      <formula>$D24="土"</formula>
    </cfRule>
    <cfRule type="expression" dxfId="486" priority="677" stopIfTrue="1">
      <formula>$D24="日"</formula>
    </cfRule>
    <cfRule type="expression" dxfId="485" priority="676" stopIfTrue="1">
      <formula>$D24="土"</formula>
    </cfRule>
    <cfRule type="expression" dxfId="484" priority="675" stopIfTrue="1">
      <formula>$D24="日"</formula>
    </cfRule>
    <cfRule type="expression" dxfId="483" priority="674" stopIfTrue="1">
      <formula>$D24="土"</formula>
    </cfRule>
    <cfRule type="expression" dxfId="482" priority="673" stopIfTrue="1">
      <formula>$D24="日"</formula>
    </cfRule>
    <cfRule type="expression" dxfId="481" priority="672" stopIfTrue="1">
      <formula>$D24="土"</formula>
    </cfRule>
    <cfRule type="expression" dxfId="480" priority="671" stopIfTrue="1">
      <formula>$D24="日"</formula>
    </cfRule>
    <cfRule type="expression" dxfId="479" priority="670" stopIfTrue="1">
      <formula>$D24="土"</formula>
    </cfRule>
  </conditionalFormatting>
  <conditionalFormatting sqref="E25">
    <cfRule type="expression" dxfId="478" priority="650" stopIfTrue="1">
      <formula>$D25="土"</formula>
    </cfRule>
    <cfRule type="expression" dxfId="477" priority="652" stopIfTrue="1">
      <formula>$D25="土"</formula>
    </cfRule>
    <cfRule type="expression" dxfId="476" priority="651" stopIfTrue="1">
      <formula>$D25="日"</formula>
    </cfRule>
    <cfRule type="expression" dxfId="475" priority="649" stopIfTrue="1">
      <formula>$D25="日"</formula>
    </cfRule>
    <cfRule type="expression" dxfId="474" priority="648" stopIfTrue="1">
      <formula>$D25="土"</formula>
    </cfRule>
    <cfRule type="expression" dxfId="473" priority="647" stopIfTrue="1">
      <formula>$D25="日"</formula>
    </cfRule>
    <cfRule type="expression" dxfId="472" priority="646" stopIfTrue="1">
      <formula>$D25="土"</formula>
    </cfRule>
    <cfRule type="expression" dxfId="471" priority="645" stopIfTrue="1">
      <formula>$D25="日"</formula>
    </cfRule>
    <cfRule type="expression" dxfId="470" priority="643" stopIfTrue="1">
      <formula>$D25="日"</formula>
    </cfRule>
    <cfRule type="expression" dxfId="469" priority="642" stopIfTrue="1">
      <formula>$D25="土"</formula>
    </cfRule>
    <cfRule type="expression" dxfId="468" priority="641" stopIfTrue="1">
      <formula>$D25="日"</formula>
    </cfRule>
    <cfRule type="expression" dxfId="467" priority="644" stopIfTrue="1">
      <formula>$D25="土"</formula>
    </cfRule>
  </conditionalFormatting>
  <conditionalFormatting sqref="E25:E31">
    <cfRule type="expression" dxfId="466" priority="254" stopIfTrue="1">
      <formula>$D25="土"</formula>
    </cfRule>
    <cfRule type="expression" dxfId="465" priority="253" stopIfTrue="1">
      <formula>$D25="日"</formula>
    </cfRule>
  </conditionalFormatting>
  <conditionalFormatting sqref="E26:E30">
    <cfRule type="expression" dxfId="464" priority="244" stopIfTrue="1">
      <formula>$D26="土"</formula>
    </cfRule>
    <cfRule type="expression" dxfId="463" priority="251" stopIfTrue="1">
      <formula>$D26="日"</formula>
    </cfRule>
    <cfRule type="expression" dxfId="462" priority="243" stopIfTrue="1">
      <formula>$D26="日"</formula>
    </cfRule>
    <cfRule type="expression" dxfId="461" priority="252" stopIfTrue="1">
      <formula>$D26="土"</formula>
    </cfRule>
    <cfRule type="expression" dxfId="460" priority="250" stopIfTrue="1">
      <formula>$D26="土"</formula>
    </cfRule>
    <cfRule type="expression" dxfId="459" priority="249" stopIfTrue="1">
      <formula>$D26="日"</formula>
    </cfRule>
    <cfRule type="expression" dxfId="458" priority="248" stopIfTrue="1">
      <formula>$D26="土"</formula>
    </cfRule>
    <cfRule type="expression" dxfId="457" priority="247" stopIfTrue="1">
      <formula>$D26="日"</formula>
    </cfRule>
    <cfRule type="expression" dxfId="456" priority="246" stopIfTrue="1">
      <formula>$D26="土"</formula>
    </cfRule>
    <cfRule type="expression" dxfId="455" priority="245" stopIfTrue="1">
      <formula>$D26="日"</formula>
    </cfRule>
  </conditionalFormatting>
  <conditionalFormatting sqref="E31">
    <cfRule type="expression" dxfId="454" priority="630" stopIfTrue="1">
      <formula>$D31="土"</formula>
    </cfRule>
    <cfRule type="expression" dxfId="453" priority="470" stopIfTrue="1">
      <formula>$D31="土"</formula>
    </cfRule>
    <cfRule type="expression" dxfId="452" priority="471" stopIfTrue="1">
      <formula>$D31="日"</formula>
    </cfRule>
    <cfRule type="expression" dxfId="451" priority="632" stopIfTrue="1">
      <formula>$D31="土"</formula>
    </cfRule>
    <cfRule type="expression" dxfId="450" priority="478" stopIfTrue="1">
      <formula>$D31="土"</formula>
    </cfRule>
    <cfRule type="expression" dxfId="449" priority="477" stopIfTrue="1">
      <formula>$D31="日"</formula>
    </cfRule>
    <cfRule type="expression" dxfId="448" priority="476" stopIfTrue="1">
      <formula>$D31="土"</formula>
    </cfRule>
    <cfRule type="expression" dxfId="447" priority="475" stopIfTrue="1">
      <formula>$D31="日"</formula>
    </cfRule>
    <cfRule type="expression" dxfId="446" priority="474" stopIfTrue="1">
      <formula>$D31="土"</formula>
    </cfRule>
    <cfRule type="expression" dxfId="445" priority="473" stopIfTrue="1">
      <formula>$D31="日"</formula>
    </cfRule>
    <cfRule type="expression" dxfId="444" priority="629" stopIfTrue="1">
      <formula>$D31="日"</formula>
    </cfRule>
    <cfRule type="expression" dxfId="443" priority="628" stopIfTrue="1">
      <formula>$D31="土"</formula>
    </cfRule>
    <cfRule type="expression" dxfId="442" priority="627" stopIfTrue="1">
      <formula>$D31="日"</formula>
    </cfRule>
    <cfRule type="expression" dxfId="441" priority="626" stopIfTrue="1">
      <formula>$D31="土"</formula>
    </cfRule>
    <cfRule type="expression" dxfId="440" priority="625" stopIfTrue="1">
      <formula>$D31="日"</formula>
    </cfRule>
    <cfRule type="expression" dxfId="439" priority="624" stopIfTrue="1">
      <formula>$D31="土"</formula>
    </cfRule>
    <cfRule type="expression" dxfId="438" priority="623" stopIfTrue="1">
      <formula>$D31="日"</formula>
    </cfRule>
    <cfRule type="expression" dxfId="437" priority="622" stopIfTrue="1">
      <formula>$D31="土"</formula>
    </cfRule>
    <cfRule type="expression" dxfId="436" priority="631" stopIfTrue="1">
      <formula>$D31="日"</formula>
    </cfRule>
    <cfRule type="expression" dxfId="435" priority="621" stopIfTrue="1">
      <formula>$D31="日"</formula>
    </cfRule>
    <cfRule type="expression" dxfId="434" priority="467" stopIfTrue="1">
      <formula>$D31="日"</formula>
    </cfRule>
    <cfRule type="expression" dxfId="433" priority="468" stopIfTrue="1">
      <formula>$D31="土"</formula>
    </cfRule>
    <cfRule type="expression" dxfId="432" priority="469" stopIfTrue="1">
      <formula>$D31="日"</formula>
    </cfRule>
    <cfRule type="expression" dxfId="431" priority="472" stopIfTrue="1">
      <formula>$D31="土"</formula>
    </cfRule>
  </conditionalFormatting>
  <conditionalFormatting sqref="E31:E32">
    <cfRule type="expression" dxfId="430" priority="479" stopIfTrue="1">
      <formula>$D31="日"</formula>
    </cfRule>
    <cfRule type="expression" dxfId="429" priority="480" stopIfTrue="1">
      <formula>$D31="土"</formula>
    </cfRule>
  </conditionalFormatting>
  <conditionalFormatting sqref="E32">
    <cfRule type="expression" dxfId="428" priority="596" stopIfTrue="1">
      <formula>$D32="土"</formula>
    </cfRule>
    <cfRule type="expression" dxfId="427" priority="595" stopIfTrue="1">
      <formula>$D32="日"</formula>
    </cfRule>
    <cfRule type="expression" dxfId="426" priority="599" stopIfTrue="1">
      <formula>$D32="日"</formula>
    </cfRule>
    <cfRule type="expression" dxfId="425" priority="600" stopIfTrue="1">
      <formula>$D32="土"</formula>
    </cfRule>
    <cfRule type="expression" dxfId="424" priority="601" stopIfTrue="1">
      <formula>$D32="日"</formula>
    </cfRule>
    <cfRule type="expression" dxfId="423" priority="602" stopIfTrue="1">
      <formula>$D32="土"</formula>
    </cfRule>
    <cfRule type="expression" dxfId="422" priority="603" stopIfTrue="1">
      <formula>$D32="日"</formula>
    </cfRule>
    <cfRule type="expression" dxfId="421" priority="604" stopIfTrue="1">
      <formula>$D32="土"</formula>
    </cfRule>
    <cfRule type="expression" dxfId="420" priority="598" stopIfTrue="1">
      <formula>$D32="土"</formula>
    </cfRule>
    <cfRule type="expression" dxfId="419" priority="597" stopIfTrue="1">
      <formula>$D32="日"</formula>
    </cfRule>
  </conditionalFormatting>
  <conditionalFormatting sqref="E33:E37">
    <cfRule type="expression" dxfId="418" priority="210" stopIfTrue="1">
      <formula>$D33="土"</formula>
    </cfRule>
    <cfRule type="expression" dxfId="417" priority="209" stopIfTrue="1">
      <formula>$D33="日"</formula>
    </cfRule>
    <cfRule type="expression" dxfId="416" priority="208" stopIfTrue="1">
      <formula>$D33="土"</formula>
    </cfRule>
    <cfRule type="expression" dxfId="415" priority="207" stopIfTrue="1">
      <formula>$D33="日"</formula>
    </cfRule>
    <cfRule type="expression" dxfId="414" priority="206" stopIfTrue="1">
      <formula>$D33="土"</formula>
    </cfRule>
    <cfRule type="expression" dxfId="413" priority="204" stopIfTrue="1">
      <formula>$D33="土"</formula>
    </cfRule>
    <cfRule type="expression" dxfId="412" priority="203" stopIfTrue="1">
      <formula>$D33="日"</formula>
    </cfRule>
    <cfRule type="expression" dxfId="411" priority="202" stopIfTrue="1">
      <formula>$D33="土"</formula>
    </cfRule>
    <cfRule type="expression" dxfId="410" priority="201" stopIfTrue="1">
      <formula>$D33="日"</formula>
    </cfRule>
    <cfRule type="expression" dxfId="409" priority="198" stopIfTrue="1">
      <formula>$D33="土"</formula>
    </cfRule>
    <cfRule type="expression" dxfId="408" priority="197" stopIfTrue="1">
      <formula>$D33="日"</formula>
    </cfRule>
    <cfRule type="expression" dxfId="407" priority="205" stopIfTrue="1">
      <formula>$D33="日"</formula>
    </cfRule>
  </conditionalFormatting>
  <conditionalFormatting sqref="E33:E38">
    <cfRule type="expression" dxfId="406" priority="212" stopIfTrue="1">
      <formula>$D33="土"</formula>
    </cfRule>
    <cfRule type="expression" dxfId="405" priority="211" stopIfTrue="1">
      <formula>$D33="日"</formula>
    </cfRule>
  </conditionalFormatting>
  <conditionalFormatting sqref="E38 E40">
    <cfRule type="expression" dxfId="404" priority="573" stopIfTrue="1">
      <formula>$D38="日"</formula>
    </cfRule>
    <cfRule type="expression" dxfId="403" priority="574" stopIfTrue="1">
      <formula>$D38="土"</formula>
    </cfRule>
    <cfRule type="expression" dxfId="402" priority="575" stopIfTrue="1">
      <formula>$D38="日"</formula>
    </cfRule>
    <cfRule type="expression" dxfId="401" priority="576" stopIfTrue="1">
      <formula>$D38="土"</formula>
    </cfRule>
    <cfRule type="expression" dxfId="400" priority="577" stopIfTrue="1">
      <formula>$D38="日"</formula>
    </cfRule>
    <cfRule type="expression" dxfId="399" priority="578" stopIfTrue="1">
      <formula>$D38="土"</formula>
    </cfRule>
    <cfRule type="expression" dxfId="398" priority="579" stopIfTrue="1">
      <formula>$D38="日"</formula>
    </cfRule>
    <cfRule type="expression" dxfId="397" priority="580" stopIfTrue="1">
      <formula>$D38="土"</formula>
    </cfRule>
    <cfRule type="expression" dxfId="396" priority="581" stopIfTrue="1">
      <formula>$D38="日"</formula>
    </cfRule>
    <cfRule type="expression" dxfId="395" priority="582" stopIfTrue="1">
      <formula>$D38="土"</formula>
    </cfRule>
  </conditionalFormatting>
  <conditionalFormatting sqref="E38 E40:E41">
    <cfRule type="expression" dxfId="394" priority="584" stopIfTrue="1">
      <formula>$D38="土"</formula>
    </cfRule>
    <cfRule type="expression" dxfId="393" priority="583" stopIfTrue="1">
      <formula>$D38="日"</formula>
    </cfRule>
  </conditionalFormatting>
  <conditionalFormatting sqref="E38">
    <cfRule type="expression" dxfId="392" priority="439" stopIfTrue="1">
      <formula>$D38="日"</formula>
    </cfRule>
    <cfRule type="expression" dxfId="391" priority="441" stopIfTrue="1">
      <formula>$D38="日"</formula>
    </cfRule>
    <cfRule type="expression" dxfId="390" priority="432" stopIfTrue="1">
      <formula>$D38="土"</formula>
    </cfRule>
    <cfRule type="expression" dxfId="389" priority="433" stopIfTrue="1">
      <formula>$D38="日"</formula>
    </cfRule>
    <cfRule type="expression" dxfId="388" priority="434" stopIfTrue="1">
      <formula>$D38="土"</formula>
    </cfRule>
    <cfRule type="expression" dxfId="387" priority="435" stopIfTrue="1">
      <formula>$D38="日"</formula>
    </cfRule>
    <cfRule type="expression" dxfId="386" priority="436" stopIfTrue="1">
      <formula>$D38="土"</formula>
    </cfRule>
    <cfRule type="expression" dxfId="385" priority="437" stopIfTrue="1">
      <formula>$D38="日"</formula>
    </cfRule>
    <cfRule type="expression" dxfId="384" priority="438" stopIfTrue="1">
      <formula>$D38="土"</formula>
    </cfRule>
    <cfRule type="expression" dxfId="383" priority="440" stopIfTrue="1">
      <formula>$D38="土"</formula>
    </cfRule>
    <cfRule type="expression" dxfId="382" priority="442" stopIfTrue="1">
      <formula>$D38="土"</formula>
    </cfRule>
    <cfRule type="expression" dxfId="381" priority="443" stopIfTrue="1">
      <formula>$D38="日"</formula>
    </cfRule>
    <cfRule type="expression" dxfId="380" priority="444" stopIfTrue="1">
      <formula>$D38="土"</formula>
    </cfRule>
    <cfRule type="expression" dxfId="379" priority="431" stopIfTrue="1">
      <formula>$D38="日"</formula>
    </cfRule>
  </conditionalFormatting>
  <conditionalFormatting sqref="E39">
    <cfRule type="expression" dxfId="378" priority="547" stopIfTrue="1">
      <formula>$D39="日"</formula>
    </cfRule>
    <cfRule type="expression" dxfId="377" priority="548" stopIfTrue="1">
      <formula>$D39="土"</formula>
    </cfRule>
    <cfRule type="expression" dxfId="376" priority="549" stopIfTrue="1">
      <formula>$D39="日"</formula>
    </cfRule>
    <cfRule type="expression" dxfId="375" priority="550" stopIfTrue="1">
      <formula>$D39="土"</formula>
    </cfRule>
    <cfRule type="expression" dxfId="374" priority="551" stopIfTrue="1">
      <formula>$D39="日"</formula>
    </cfRule>
    <cfRule type="expression" dxfId="373" priority="552" stopIfTrue="1">
      <formula>$D39="土"</formula>
    </cfRule>
    <cfRule type="expression" dxfId="372" priority="553" stopIfTrue="1">
      <formula>$D39="日"</formula>
    </cfRule>
    <cfRule type="expression" dxfId="371" priority="554" stopIfTrue="1">
      <formula>$D39="土"</formula>
    </cfRule>
    <cfRule type="expression" dxfId="370" priority="555" stopIfTrue="1">
      <formula>$D39="日"</formula>
    </cfRule>
    <cfRule type="expression" dxfId="369" priority="546" stopIfTrue="1">
      <formula>$D39="土"</formula>
    </cfRule>
    <cfRule type="expression" dxfId="368" priority="556" stopIfTrue="1">
      <formula>$D39="土"</formula>
    </cfRule>
    <cfRule type="expression" dxfId="367" priority="545" stopIfTrue="1">
      <formula>$D39="日"</formula>
    </cfRule>
  </conditionalFormatting>
  <conditionalFormatting sqref="E40">
    <cfRule type="expression" dxfId="366" priority="333" stopIfTrue="1">
      <formula>$D40="日"</formula>
    </cfRule>
    <cfRule type="expression" dxfId="365" priority="157" stopIfTrue="1">
      <formula>$D40="日"</formula>
    </cfRule>
    <cfRule type="expression" dxfId="364" priority="329" stopIfTrue="1">
      <formula>$D40="日"</formula>
    </cfRule>
    <cfRule type="expression" dxfId="363" priority="330" stopIfTrue="1">
      <formula>$D40="土"</formula>
    </cfRule>
    <cfRule type="expression" dxfId="362" priority="331" stopIfTrue="1">
      <formula>$D40="日"</formula>
    </cfRule>
    <cfRule type="expression" dxfId="361" priority="174" stopIfTrue="1">
      <formula>$D40="土"</formula>
    </cfRule>
    <cfRule type="expression" dxfId="360" priority="173" stopIfTrue="1">
      <formula>$D40="日"</formula>
    </cfRule>
    <cfRule type="expression" dxfId="359" priority="334" stopIfTrue="1">
      <formula>$D40="土"</formula>
    </cfRule>
    <cfRule type="expression" dxfId="358" priority="335" stopIfTrue="1">
      <formula>$D40="日"</formula>
    </cfRule>
    <cfRule type="expression" dxfId="357" priority="336" stopIfTrue="1">
      <formula>$D40="土"</formula>
    </cfRule>
    <cfRule type="expression" dxfId="356" priority="337" stopIfTrue="1">
      <formula>$D40="日"</formula>
    </cfRule>
    <cfRule type="expression" dxfId="355" priority="338" stopIfTrue="1">
      <formula>$D40="土"</formula>
    </cfRule>
    <cfRule type="expression" dxfId="354" priority="339" stopIfTrue="1">
      <formula>$D40="日"</formula>
    </cfRule>
    <cfRule type="expression" dxfId="353" priority="340" stopIfTrue="1">
      <formula>$D40="土"</formula>
    </cfRule>
    <cfRule type="expression" dxfId="352" priority="341" stopIfTrue="1">
      <formula>$D40="日"</formula>
    </cfRule>
    <cfRule type="expression" dxfId="351" priority="342" stopIfTrue="1">
      <formula>$D40="土"</formula>
    </cfRule>
    <cfRule type="expression" dxfId="350" priority="343" stopIfTrue="1">
      <formula>$D40="日"</formula>
    </cfRule>
    <cfRule type="expression" dxfId="349" priority="344" stopIfTrue="1">
      <formula>$D40="土"</formula>
    </cfRule>
    <cfRule type="expression" dxfId="348" priority="172" stopIfTrue="1">
      <formula>$D40="土"</formula>
    </cfRule>
    <cfRule type="expression" dxfId="347" priority="171" stopIfTrue="1">
      <formula>$D40="日"</formula>
    </cfRule>
    <cfRule type="expression" dxfId="346" priority="170" stopIfTrue="1">
      <formula>$D40="土"</formula>
    </cfRule>
    <cfRule type="expression" dxfId="345" priority="169" stopIfTrue="1">
      <formula>$D40="日"</formula>
    </cfRule>
    <cfRule type="expression" dxfId="344" priority="168" stopIfTrue="1">
      <formula>$D40="土"</formula>
    </cfRule>
    <cfRule type="expression" dxfId="343" priority="167" stopIfTrue="1">
      <formula>$D40="日"</formula>
    </cfRule>
    <cfRule type="expression" dxfId="342" priority="166" stopIfTrue="1">
      <formula>$D40="土"</formula>
    </cfRule>
    <cfRule type="expression" dxfId="341" priority="165" stopIfTrue="1">
      <formula>$D40="日"</formula>
    </cfRule>
    <cfRule type="expression" dxfId="340" priority="164" stopIfTrue="1">
      <formula>$D40="土"</formula>
    </cfRule>
    <cfRule type="expression" dxfId="339" priority="163" stopIfTrue="1">
      <formula>$D40="日"</formula>
    </cfRule>
    <cfRule type="expression" dxfId="338" priority="162" stopIfTrue="1">
      <formula>$D40="土"</formula>
    </cfRule>
    <cfRule type="expression" dxfId="337" priority="161" stopIfTrue="1">
      <formula>$D40="日"</formula>
    </cfRule>
    <cfRule type="expression" dxfId="336" priority="160" stopIfTrue="1">
      <formula>$D40="土"</formula>
    </cfRule>
    <cfRule type="expression" dxfId="335" priority="159" stopIfTrue="1">
      <formula>$D40="日"</formula>
    </cfRule>
    <cfRule type="expression" dxfId="334" priority="158" stopIfTrue="1">
      <formula>$D40="土"</formula>
    </cfRule>
    <cfRule type="expression" dxfId="333" priority="332" stopIfTrue="1">
      <formula>$D40="土"</formula>
    </cfRule>
  </conditionalFormatting>
  <conditionalFormatting sqref="E41">
    <cfRule type="expression" dxfId="332" priority="767" stopIfTrue="1">
      <formula>$D41="日"</formula>
    </cfRule>
    <cfRule type="expression" dxfId="331" priority="772" stopIfTrue="1">
      <formula>$D41="土"</formula>
    </cfRule>
    <cfRule type="expression" dxfId="330" priority="778" stopIfTrue="1">
      <formula>$D41="土"</formula>
    </cfRule>
    <cfRule type="expression" dxfId="329" priority="777" stopIfTrue="1">
      <formula>$D41="日"</formula>
    </cfRule>
    <cfRule type="expression" dxfId="328" priority="776" stopIfTrue="1">
      <formula>$D41="土"</formula>
    </cfRule>
    <cfRule type="expression" dxfId="327" priority="775" stopIfTrue="1">
      <formula>$D41="日"</formula>
    </cfRule>
    <cfRule type="expression" dxfId="326" priority="769" stopIfTrue="1">
      <formula>$D41="日"</formula>
    </cfRule>
    <cfRule type="expression" dxfId="325" priority="770" stopIfTrue="1">
      <formula>$D41="土"</formula>
    </cfRule>
    <cfRule type="expression" dxfId="324" priority="774" stopIfTrue="1">
      <formula>$D41="土"</formula>
    </cfRule>
    <cfRule type="expression" dxfId="323" priority="773" stopIfTrue="1">
      <formula>$D41="日"</formula>
    </cfRule>
    <cfRule type="expression" dxfId="322" priority="771" stopIfTrue="1">
      <formula>$D41="日"</formula>
    </cfRule>
    <cfRule type="expression" dxfId="321" priority="768" stopIfTrue="1">
      <formula>$D41="土"</formula>
    </cfRule>
  </conditionalFormatting>
  <conditionalFormatting sqref="E11:F11">
    <cfRule type="expression" dxfId="320" priority="731" stopIfTrue="1">
      <formula>$D11="日"</formula>
    </cfRule>
    <cfRule type="expression" dxfId="319" priority="732" stopIfTrue="1">
      <formula>$D11="土"</formula>
    </cfRule>
  </conditionalFormatting>
  <conditionalFormatting sqref="F18 E12:F17 E19:F23">
    <cfRule type="expression" dxfId="318" priority="889" stopIfTrue="1">
      <formula>$D12="日"</formula>
    </cfRule>
    <cfRule type="expression" dxfId="317" priority="890" stopIfTrue="1">
      <formula>$D12="土"</formula>
    </cfRule>
  </conditionalFormatting>
  <conditionalFormatting sqref="E18:F18">
    <cfRule type="expression" dxfId="316" priority="704" stopIfTrue="1">
      <formula>$D18="土"</formula>
    </cfRule>
    <cfRule type="expression" dxfId="315" priority="703" stopIfTrue="1">
      <formula>$D18="日"</formula>
    </cfRule>
  </conditionalFormatting>
  <conditionalFormatting sqref="E24:F24">
    <cfRule type="expression" dxfId="314" priority="684" stopIfTrue="1">
      <formula>$D24="土"</formula>
    </cfRule>
    <cfRule type="expression" dxfId="313" priority="683" stopIfTrue="1">
      <formula>$D24="日"</formula>
    </cfRule>
  </conditionalFormatting>
  <conditionalFormatting sqref="E24:F25">
    <cfRule type="expression" dxfId="312" priority="655" stopIfTrue="1">
      <formula>$D24="日"</formula>
    </cfRule>
    <cfRule type="expression" dxfId="311" priority="656" stopIfTrue="1">
      <formula>$D24="土"</formula>
    </cfRule>
  </conditionalFormatting>
  <conditionalFormatting sqref="E26:F30">
    <cfRule type="expression" dxfId="310" priority="258" stopIfTrue="1">
      <formula>$D26="土"</formula>
    </cfRule>
    <cfRule type="expression" dxfId="309" priority="231" stopIfTrue="1">
      <formula>$D26="日"</formula>
    </cfRule>
    <cfRule type="expression" dxfId="308" priority="232" stopIfTrue="1">
      <formula>$D26="土"</formula>
    </cfRule>
    <cfRule type="expression" dxfId="307" priority="257" stopIfTrue="1">
      <formula>$D26="日"</formula>
    </cfRule>
  </conditionalFormatting>
  <conditionalFormatting sqref="E31:F31 F31:F32">
    <cfRule type="expression" dxfId="306" priority="636" stopIfTrue="1">
      <formula>$D31="土"</formula>
    </cfRule>
    <cfRule type="expression" dxfId="305" priority="635" stopIfTrue="1">
      <formula>$D31="日"</formula>
    </cfRule>
  </conditionalFormatting>
  <conditionalFormatting sqref="E31:F32">
    <cfRule type="expression" dxfId="304" priority="608" stopIfTrue="1">
      <formula>$D31="土"</formula>
    </cfRule>
    <cfRule type="expression" dxfId="303" priority="607" stopIfTrue="1">
      <formula>$D31="日"</formula>
    </cfRule>
  </conditionalFormatting>
  <conditionalFormatting sqref="E32:F37">
    <cfRule type="expression" dxfId="302" priority="215" stopIfTrue="1">
      <formula>$D32="日"</formula>
    </cfRule>
    <cfRule type="expression" dxfId="301" priority="216" stopIfTrue="1">
      <formula>$D32="土"</formula>
    </cfRule>
  </conditionalFormatting>
  <conditionalFormatting sqref="E38:F38 F39 E40:F40">
    <cfRule type="expression" dxfId="300" priority="587" stopIfTrue="1">
      <formula>$D38="日"</formula>
    </cfRule>
    <cfRule type="expression" dxfId="299" priority="588" stopIfTrue="1">
      <formula>$D38="土"</formula>
    </cfRule>
  </conditionalFormatting>
  <conditionalFormatting sqref="E38:F40">
    <cfRule type="expression" dxfId="298" priority="560" stopIfTrue="1">
      <formula>$D38="土"</formula>
    </cfRule>
    <cfRule type="expression" dxfId="297" priority="559" stopIfTrue="1">
      <formula>$D38="日"</formula>
    </cfRule>
  </conditionalFormatting>
  <conditionalFormatting sqref="E39:F39">
    <cfRule type="expression" dxfId="296" priority="512" stopIfTrue="1">
      <formula>$D39="土"</formula>
    </cfRule>
    <cfRule type="expression" dxfId="295" priority="511" stopIfTrue="1">
      <formula>$D39="日"</formula>
    </cfRule>
  </conditionalFormatting>
  <conditionalFormatting sqref="E41:F41">
    <cfRule type="expression" dxfId="294" priority="782" stopIfTrue="1">
      <formula>$D41="土"</formula>
    </cfRule>
    <cfRule type="expression" dxfId="293" priority="781" stopIfTrue="1">
      <formula>$D41="日"</formula>
    </cfRule>
  </conditionalFormatting>
  <conditionalFormatting sqref="E19:G19">
    <cfRule type="expression" dxfId="292" priority="268" stopIfTrue="1">
      <formula>$D19="土"</formula>
    </cfRule>
    <cfRule type="expression" dxfId="291" priority="267" stopIfTrue="1">
      <formula>$D19="日"</formula>
    </cfRule>
  </conditionalFormatting>
  <conditionalFormatting sqref="E26:G26">
    <cfRule type="expression" dxfId="290" priority="226" stopIfTrue="1">
      <formula>$D26="土"</formula>
    </cfRule>
    <cfRule type="expression" dxfId="289" priority="225" stopIfTrue="1">
      <formula>$D26="日"</formula>
    </cfRule>
  </conditionalFormatting>
  <conditionalFormatting sqref="E31:G31">
    <cfRule type="expression" dxfId="288" priority="481" stopIfTrue="1">
      <formula>$D31="日"</formula>
    </cfRule>
    <cfRule type="expression" dxfId="287" priority="482" stopIfTrue="1">
      <formula>$D31="土"</formula>
    </cfRule>
  </conditionalFormatting>
  <conditionalFormatting sqref="E33:G33">
    <cfRule type="expression" dxfId="286" priority="183" stopIfTrue="1">
      <formula>$D33="日"</formula>
    </cfRule>
    <cfRule type="expression" dxfId="285" priority="184" stopIfTrue="1">
      <formula>$D33="土"</formula>
    </cfRule>
  </conditionalFormatting>
  <conditionalFormatting sqref="E38:G38">
    <cfRule type="expression" dxfId="284" priority="446" stopIfTrue="1">
      <formula>$D38="土"</formula>
    </cfRule>
    <cfRule type="expression" dxfId="283" priority="445" stopIfTrue="1">
      <formula>$D38="日"</formula>
    </cfRule>
  </conditionalFormatting>
  <conditionalFormatting sqref="E40:G40">
    <cfRule type="expression" dxfId="282" priority="345" stopIfTrue="1">
      <formula>$D40="日"</formula>
    </cfRule>
    <cfRule type="expression" dxfId="281" priority="346" stopIfTrue="1">
      <formula>$D40="土"</formula>
    </cfRule>
  </conditionalFormatting>
  <conditionalFormatting sqref="F18 E12:H17 E19:H23">
    <cfRule type="expression" dxfId="280" priority="887" stopIfTrue="1">
      <formula>$D12="日"</formula>
    </cfRule>
  </conditionalFormatting>
  <conditionalFormatting sqref="F18 E12:H17 E19:H23">
    <cfRule type="expression" dxfId="279" priority="888" stopIfTrue="1">
      <formula>$D12="土"</formula>
    </cfRule>
  </conditionalFormatting>
  <conditionalFormatting sqref="E24:H24">
    <cfRule type="expression" dxfId="278" priority="681" stopIfTrue="1">
      <formula>$D24="日"</formula>
    </cfRule>
    <cfRule type="expression" dxfId="277" priority="682" stopIfTrue="1">
      <formula>$D24="土"</formula>
    </cfRule>
  </conditionalFormatting>
  <conditionalFormatting sqref="E25:H25">
    <cfRule type="expression" dxfId="276" priority="654" stopIfTrue="1">
      <formula>$D25="土"</formula>
    </cfRule>
    <cfRule type="expression" dxfId="275" priority="653" stopIfTrue="1">
      <formula>$D25="日"</formula>
    </cfRule>
  </conditionalFormatting>
  <conditionalFormatting sqref="E26:H26 E27:F27 E28:H30">
    <cfRule type="expression" dxfId="274" priority="256" stopIfTrue="1">
      <formula>$D26="土"</formula>
    </cfRule>
    <cfRule type="expression" dxfId="273" priority="255" stopIfTrue="1">
      <formula>$D26="日"</formula>
    </cfRule>
  </conditionalFormatting>
  <conditionalFormatting sqref="E33:H33 E34:F34 E35:H37">
    <cfRule type="expression" dxfId="272" priority="214" stopIfTrue="1">
      <formula>$D33="土"</formula>
    </cfRule>
    <cfRule type="expression" dxfId="271" priority="213" stopIfTrue="1">
      <formula>$D33="日"</formula>
    </cfRule>
  </conditionalFormatting>
  <conditionalFormatting sqref="E11:I11">
    <cfRule type="expression" dxfId="270" priority="729" stopIfTrue="1">
      <formula>$D11="日"</formula>
    </cfRule>
    <cfRule type="expression" dxfId="269" priority="730" stopIfTrue="1">
      <formula>$D11="土"</formula>
    </cfRule>
  </conditionalFormatting>
  <conditionalFormatting sqref="E18:I18">
    <cfRule type="expression" dxfId="268" priority="702" stopIfTrue="1">
      <formula>$D18="土"</formula>
    </cfRule>
    <cfRule type="expression" dxfId="267" priority="701" stopIfTrue="1">
      <formula>$D18="日"</formula>
    </cfRule>
  </conditionalFormatting>
  <conditionalFormatting sqref="E31:I31 F31:F32">
    <cfRule type="expression" dxfId="266" priority="633" stopIfTrue="1">
      <formula>$D31="日"</formula>
    </cfRule>
    <cfRule type="expression" dxfId="265" priority="634" stopIfTrue="1">
      <formula>$D31="土"</formula>
    </cfRule>
  </conditionalFormatting>
  <conditionalFormatting sqref="E32:I32">
    <cfRule type="expression" dxfId="264" priority="605" stopIfTrue="1">
      <formula>$D32="日"</formula>
    </cfRule>
    <cfRule type="expression" dxfId="263" priority="606" stopIfTrue="1">
      <formula>$D32="土"</formula>
    </cfRule>
  </conditionalFormatting>
  <conditionalFormatting sqref="E38:I38 E40:H40 F39">
    <cfRule type="expression" dxfId="262" priority="585" stopIfTrue="1">
      <formula>$D38="日"</formula>
    </cfRule>
  </conditionalFormatting>
  <conditionalFormatting sqref="E38:I38 F39 E40:H40">
    <cfRule type="expression" dxfId="261" priority="586" stopIfTrue="1">
      <formula>$D38="土"</formula>
    </cfRule>
  </conditionalFormatting>
  <conditionalFormatting sqref="E39:I39">
    <cfRule type="expression" dxfId="260" priority="557" stopIfTrue="1">
      <formula>$D39="日"</formula>
    </cfRule>
    <cfRule type="expression" dxfId="259" priority="558" stopIfTrue="1">
      <formula>$D39="土"</formula>
    </cfRule>
  </conditionalFormatting>
  <conditionalFormatting sqref="E41:I41">
    <cfRule type="expression" dxfId="258" priority="779" stopIfTrue="1">
      <formula>$D41="日"</formula>
    </cfRule>
    <cfRule type="expression" dxfId="257" priority="780" stopIfTrue="1">
      <formula>$D41="土"</formula>
    </cfRule>
  </conditionalFormatting>
  <conditionalFormatting sqref="F11:F41">
    <cfRule type="expression" dxfId="256" priority="2022" stopIfTrue="1">
      <formula>$D11="土"</formula>
    </cfRule>
    <cfRule type="expression" dxfId="255" priority="2021" stopIfTrue="1">
      <formula>$D11="日"</formula>
    </cfRule>
  </conditionalFormatting>
  <conditionalFormatting sqref="F12:F16">
    <cfRule type="expression" dxfId="254" priority="401" stopIfTrue="1">
      <formula>$D12="日"</formula>
    </cfRule>
    <cfRule type="expression" dxfId="253" priority="402" stopIfTrue="1">
      <formula>$D12="土"</formula>
    </cfRule>
    <cfRule type="expression" dxfId="252" priority="386" stopIfTrue="1">
      <formula>$D12="土"</formula>
    </cfRule>
    <cfRule type="expression" dxfId="251" priority="385" stopIfTrue="1">
      <formula>$D12="日"</formula>
    </cfRule>
    <cfRule type="expression" dxfId="250" priority="384" stopIfTrue="1">
      <formula>$D12="土"</formula>
    </cfRule>
    <cfRule type="expression" dxfId="249" priority="383" stopIfTrue="1">
      <formula>$D12="日"</formula>
    </cfRule>
    <cfRule type="expression" dxfId="248" priority="382" stopIfTrue="1">
      <formula>$D12="土"</formula>
    </cfRule>
    <cfRule type="expression" dxfId="247" priority="381" stopIfTrue="1">
      <formula>$D12="日"</formula>
    </cfRule>
    <cfRule type="expression" dxfId="246" priority="380" stopIfTrue="1">
      <formula>$D12="土"</formula>
    </cfRule>
    <cfRule type="expression" dxfId="245" priority="379" stopIfTrue="1">
      <formula>$D12="日"</formula>
    </cfRule>
  </conditionalFormatting>
  <conditionalFormatting sqref="F13:F18 F20:F23">
    <cfRule type="expression" dxfId="244" priority="712" stopIfTrue="1">
      <formula>$D13="土"</formula>
    </cfRule>
    <cfRule type="expression" dxfId="243" priority="711" stopIfTrue="1">
      <formula>$D13="日"</formula>
    </cfRule>
  </conditionalFormatting>
  <conditionalFormatting sqref="F18 F13:G17">
    <cfRule type="expression" dxfId="242" priority="709" stopIfTrue="1">
      <formula>$D13="日"</formula>
    </cfRule>
  </conditionalFormatting>
  <conditionalFormatting sqref="F19:F23">
    <cfRule type="expression" dxfId="241" priority="259" stopIfTrue="1">
      <formula>$D19="日"</formula>
    </cfRule>
    <cfRule type="expression" dxfId="240" priority="274" stopIfTrue="1">
      <formula>$D19="土"</formula>
    </cfRule>
    <cfRule type="expression" dxfId="239" priority="273" stopIfTrue="1">
      <formula>$D19="日"</formula>
    </cfRule>
    <cfRule type="expression" dxfId="238" priority="262" stopIfTrue="1">
      <formula>$D19="土"</formula>
    </cfRule>
    <cfRule type="expression" dxfId="237" priority="263" stopIfTrue="1">
      <formula>$D19="日"</formula>
    </cfRule>
    <cfRule type="expression" dxfId="236" priority="264" stopIfTrue="1">
      <formula>$D19="土"</formula>
    </cfRule>
    <cfRule type="expression" dxfId="235" priority="265" stopIfTrue="1">
      <formula>$D19="日"</formula>
    </cfRule>
    <cfRule type="expression" dxfId="234" priority="266" stopIfTrue="1">
      <formula>$D19="土"</formula>
    </cfRule>
    <cfRule type="expression" dxfId="233" priority="261" stopIfTrue="1">
      <formula>$D19="日"</formula>
    </cfRule>
    <cfRule type="expression" dxfId="232" priority="260" stopIfTrue="1">
      <formula>$D19="土"</formula>
    </cfRule>
  </conditionalFormatting>
  <conditionalFormatting sqref="F20:F23">
    <cfRule type="expression" dxfId="231" priority="272" stopIfTrue="1">
      <formula>$D20="土"</formula>
    </cfRule>
    <cfRule type="expression" dxfId="230" priority="271" stopIfTrue="1">
      <formula>$D20="日"</formula>
    </cfRule>
  </conditionalFormatting>
  <conditionalFormatting sqref="F26:F30">
    <cfRule type="expression" dxfId="229" priority="220" stopIfTrue="1">
      <formula>$D26="土"</formula>
    </cfRule>
    <cfRule type="expression" dxfId="228" priority="219" stopIfTrue="1">
      <formula>$D26="日"</formula>
    </cfRule>
    <cfRule type="expression" dxfId="227" priority="218" stopIfTrue="1">
      <formula>$D26="土"</formula>
    </cfRule>
    <cfRule type="expression" dxfId="226" priority="217" stopIfTrue="1">
      <formula>$D26="日"</formula>
    </cfRule>
    <cfRule type="expression" dxfId="225" priority="221" stopIfTrue="1">
      <formula>$D26="日"</formula>
    </cfRule>
    <cfRule type="expression" dxfId="224" priority="222" stopIfTrue="1">
      <formula>$D26="土"</formula>
    </cfRule>
    <cfRule type="expression" dxfId="223" priority="223" stopIfTrue="1">
      <formula>$D26="日"</formula>
    </cfRule>
    <cfRule type="expression" dxfId="222" priority="224" stopIfTrue="1">
      <formula>$D26="土"</formula>
    </cfRule>
  </conditionalFormatting>
  <conditionalFormatting sqref="F27 F28:G30">
    <cfRule type="expression" dxfId="221" priority="235" stopIfTrue="1">
      <formula>$D27="日"</formula>
    </cfRule>
    <cfRule type="expression" dxfId="220" priority="236" stopIfTrue="1">
      <formula>$D27="土"</formula>
    </cfRule>
  </conditionalFormatting>
  <conditionalFormatting sqref="F27:F30">
    <cfRule type="expression" dxfId="219" priority="237" stopIfTrue="1">
      <formula>$D27="日"</formula>
    </cfRule>
    <cfRule type="expression" dxfId="218" priority="238" stopIfTrue="1">
      <formula>$D27="土"</formula>
    </cfRule>
    <cfRule type="expression" dxfId="217" priority="229" stopIfTrue="1">
      <formula>$D27="日"</formula>
    </cfRule>
    <cfRule type="expression" dxfId="216" priority="230" stopIfTrue="1">
      <formula>$D27="土"</formula>
    </cfRule>
  </conditionalFormatting>
  <conditionalFormatting sqref="F32">
    <cfRule type="expression" dxfId="215" priority="616" stopIfTrue="1">
      <formula>$D32="土"</formula>
    </cfRule>
    <cfRule type="expression" dxfId="214" priority="615" stopIfTrue="1">
      <formula>$D32="日"</formula>
    </cfRule>
    <cfRule type="expression" dxfId="213" priority="614" stopIfTrue="1">
      <formula>$D32="土"</formula>
    </cfRule>
    <cfRule type="expression" dxfId="212" priority="613" stopIfTrue="1">
      <formula>$D32="日"</formula>
    </cfRule>
  </conditionalFormatting>
  <conditionalFormatting sqref="F32:F37">
    <cfRule type="expression" dxfId="211" priority="189" stopIfTrue="1">
      <formula>$D32="日"</formula>
    </cfRule>
    <cfRule type="expression" dxfId="210" priority="190" stopIfTrue="1">
      <formula>$D32="土"</formula>
    </cfRule>
  </conditionalFormatting>
  <conditionalFormatting sqref="F33:F37">
    <cfRule type="expression" dxfId="209" priority="178" stopIfTrue="1">
      <formula>$D33="土"</formula>
    </cfRule>
    <cfRule type="expression" dxfId="208" priority="177" stopIfTrue="1">
      <formula>$D33="日"</formula>
    </cfRule>
    <cfRule type="expression" dxfId="207" priority="176" stopIfTrue="1">
      <formula>$D33="土"</formula>
    </cfRule>
    <cfRule type="expression" dxfId="206" priority="179" stopIfTrue="1">
      <formula>$D33="日"</formula>
    </cfRule>
    <cfRule type="expression" dxfId="205" priority="182" stopIfTrue="1">
      <formula>$D33="土"</formula>
    </cfRule>
    <cfRule type="expression" dxfId="204" priority="181" stopIfTrue="1">
      <formula>$D33="日"</formula>
    </cfRule>
    <cfRule type="expression" dxfId="203" priority="180" stopIfTrue="1">
      <formula>$D33="土"</formula>
    </cfRule>
    <cfRule type="expression" dxfId="202" priority="175" stopIfTrue="1">
      <formula>$D33="日"</formula>
    </cfRule>
  </conditionalFormatting>
  <conditionalFormatting sqref="F34 F35:G37">
    <cfRule type="expression" dxfId="201" priority="193" stopIfTrue="1">
      <formula>$D34="日"</formula>
    </cfRule>
    <cfRule type="expression" dxfId="200" priority="194" stopIfTrue="1">
      <formula>$D34="土"</formula>
    </cfRule>
  </conditionalFormatting>
  <conditionalFormatting sqref="F34:F37">
    <cfRule type="expression" dxfId="199" priority="188" stopIfTrue="1">
      <formula>$D34="土"</formula>
    </cfRule>
    <cfRule type="expression" dxfId="198" priority="187" stopIfTrue="1">
      <formula>$D34="日"</formula>
    </cfRule>
    <cfRule type="expression" dxfId="197" priority="195" stopIfTrue="1">
      <formula>$D34="日"</formula>
    </cfRule>
    <cfRule type="expression" dxfId="196" priority="196" stopIfTrue="1">
      <formula>$D34="土"</formula>
    </cfRule>
  </conditionalFormatting>
  <conditionalFormatting sqref="F39">
    <cfRule type="expression" dxfId="195" priority="510" stopIfTrue="1">
      <formula>$D39="土"</formula>
    </cfRule>
    <cfRule type="expression" dxfId="194" priority="509" stopIfTrue="1">
      <formula>$D39="日"</formula>
    </cfRule>
    <cfRule type="expression" dxfId="193" priority="567" stopIfTrue="1">
      <formula>$D39="日"</formula>
    </cfRule>
    <cfRule type="expression" dxfId="192" priority="566" stopIfTrue="1">
      <formula>$D39="土"</formula>
    </cfRule>
    <cfRule type="expression" dxfId="191" priority="565" stopIfTrue="1">
      <formula>$D39="日"</formula>
    </cfRule>
    <cfRule type="expression" dxfId="190" priority="568" stopIfTrue="1">
      <formula>$D39="土"</formula>
    </cfRule>
  </conditionalFormatting>
  <conditionalFormatting sqref="F11:G41">
    <cfRule type="expression" dxfId="189" priority="2023" stopIfTrue="1">
      <formula>$D11="日"</formula>
    </cfRule>
    <cfRule type="expression" dxfId="188" priority="2024" stopIfTrue="1">
      <formula>$D11="土"</formula>
    </cfRule>
  </conditionalFormatting>
  <conditionalFormatting sqref="F12:G12 F13:F16">
    <cfRule type="expression" dxfId="187" priority="400" stopIfTrue="1">
      <formula>$D12="土"</formula>
    </cfRule>
    <cfRule type="expression" dxfId="186" priority="399" stopIfTrue="1">
      <formula>$D12="日"</formula>
    </cfRule>
  </conditionalFormatting>
  <conditionalFormatting sqref="F13:G17 F18">
    <cfRule type="expression" dxfId="185" priority="710" stopIfTrue="1">
      <formula>$D13="土"</formula>
    </cfRule>
  </conditionalFormatting>
  <conditionalFormatting sqref="F20:G24">
    <cfRule type="expression" dxfId="184" priority="275" stopIfTrue="1">
      <formula>$D20="日"</formula>
    </cfRule>
    <cfRule type="expression" dxfId="183" priority="276" stopIfTrue="1">
      <formula>$D20="土"</formula>
    </cfRule>
  </conditionalFormatting>
  <conditionalFormatting sqref="G12">
    <cfRule type="expression" dxfId="182" priority="125" stopIfTrue="1">
      <formula>$D12="日"</formula>
    </cfRule>
    <cfRule type="expression" dxfId="181" priority="124" stopIfTrue="1">
      <formula>$D12="土"</formula>
    </cfRule>
    <cfRule type="expression" dxfId="180" priority="126" stopIfTrue="1">
      <formula>$D12="土"</formula>
    </cfRule>
    <cfRule type="expression" dxfId="179" priority="127" stopIfTrue="1">
      <formula>$D12="日"</formula>
    </cfRule>
    <cfRule type="expression" dxfId="178" priority="128" stopIfTrue="1">
      <formula>$D12="土"</formula>
    </cfRule>
    <cfRule type="expression" dxfId="177" priority="123" stopIfTrue="1">
      <formula>$D12="日"</formula>
    </cfRule>
    <cfRule type="expression" dxfId="176" priority="122" stopIfTrue="1">
      <formula>$D12="土"</formula>
    </cfRule>
    <cfRule type="expression" dxfId="175" priority="121" stopIfTrue="1">
      <formula>$D12="日"</formula>
    </cfRule>
  </conditionalFormatting>
  <conditionalFormatting sqref="G19">
    <cfRule type="expression" dxfId="174" priority="136" stopIfTrue="1">
      <formula>$D19="土"</formula>
    </cfRule>
    <cfRule type="expression" dxfId="173" priority="135" stopIfTrue="1">
      <formula>$D19="日"</formula>
    </cfRule>
    <cfRule type="expression" dxfId="172" priority="129" stopIfTrue="1">
      <formula>$D19="日"</formula>
    </cfRule>
    <cfRule type="expression" dxfId="171" priority="134" stopIfTrue="1">
      <formula>$D19="土"</formula>
    </cfRule>
    <cfRule type="expression" dxfId="170" priority="130" stopIfTrue="1">
      <formula>$D19="土"</formula>
    </cfRule>
    <cfRule type="expression" dxfId="169" priority="131" stopIfTrue="1">
      <formula>$D19="日"</formula>
    </cfRule>
    <cfRule type="expression" dxfId="168" priority="132" stopIfTrue="1">
      <formula>$D19="土"</formula>
    </cfRule>
    <cfRule type="expression" dxfId="167" priority="133" stopIfTrue="1">
      <formula>$D19="日"</formula>
    </cfRule>
  </conditionalFormatting>
  <conditionalFormatting sqref="G27">
    <cfRule type="expression" dxfId="166" priority="138" stopIfTrue="1">
      <formula>$D27="土"</formula>
    </cfRule>
    <cfRule type="expression" dxfId="165" priority="148" stopIfTrue="1">
      <formula>$D27="土"</formula>
    </cfRule>
    <cfRule type="expression" dxfId="164" priority="139" stopIfTrue="1">
      <formula>$D27="日"</formula>
    </cfRule>
    <cfRule type="expression" dxfId="163" priority="140" stopIfTrue="1">
      <formula>$D27="土"</formula>
    </cfRule>
    <cfRule type="expression" dxfId="162" priority="141" stopIfTrue="1">
      <formula>$D27="日"</formula>
    </cfRule>
    <cfRule type="expression" dxfId="161" priority="137" stopIfTrue="1">
      <formula>$D27="日"</formula>
    </cfRule>
    <cfRule type="expression" dxfId="160" priority="142" stopIfTrue="1">
      <formula>$D27="土"</formula>
    </cfRule>
    <cfRule type="expression" dxfId="159" priority="143" stopIfTrue="1">
      <formula>$D27="日"</formula>
    </cfRule>
    <cfRule type="expression" dxfId="158" priority="144" stopIfTrue="1">
      <formula>$D27="土"</formula>
    </cfRule>
    <cfRule type="expression" dxfId="157" priority="147" stopIfTrue="1">
      <formula>$D27="日"</formula>
    </cfRule>
  </conditionalFormatting>
  <conditionalFormatting sqref="G34">
    <cfRule type="expression" dxfId="156" priority="106" stopIfTrue="1">
      <formula>$D34="土"</formula>
    </cfRule>
    <cfRule type="expression" dxfId="155" priority="107" stopIfTrue="1">
      <formula>$D34="日"</formula>
    </cfRule>
    <cfRule type="expression" dxfId="154" priority="116" stopIfTrue="1">
      <formula>$D34="土"</formula>
    </cfRule>
    <cfRule type="expression" dxfId="153" priority="115" stopIfTrue="1">
      <formula>$D34="日"</formula>
    </cfRule>
    <cfRule type="expression" dxfId="152" priority="109" stopIfTrue="1">
      <formula>$D34="日"</formula>
    </cfRule>
    <cfRule type="expression" dxfId="151" priority="108" stopIfTrue="1">
      <formula>$D34="土"</formula>
    </cfRule>
    <cfRule type="expression" dxfId="150" priority="111" stopIfTrue="1">
      <formula>$D34="日"</formula>
    </cfRule>
    <cfRule type="expression" dxfId="149" priority="110" stopIfTrue="1">
      <formula>$D34="土"</formula>
    </cfRule>
    <cfRule type="expression" dxfId="148" priority="105" stopIfTrue="1">
      <formula>$D34="日"</formula>
    </cfRule>
    <cfRule type="expression" dxfId="147" priority="112" stopIfTrue="1">
      <formula>$D34="土"</formula>
    </cfRule>
  </conditionalFormatting>
  <conditionalFormatting sqref="G40">
    <cfRule type="expression" dxfId="146" priority="325" stopIfTrue="1">
      <formula>$D40="日"</formula>
    </cfRule>
    <cfRule type="expression" dxfId="145" priority="326" stopIfTrue="1">
      <formula>$D40="土"</formula>
    </cfRule>
    <cfRule type="expression" dxfId="144" priority="327" stopIfTrue="1">
      <formula>$D40="日"</formula>
    </cfRule>
    <cfRule type="expression" dxfId="143" priority="328" stopIfTrue="1">
      <formula>$D40="土"</formula>
    </cfRule>
  </conditionalFormatting>
  <conditionalFormatting sqref="G27:H27">
    <cfRule type="expression" dxfId="142" priority="151" stopIfTrue="1">
      <formula>$D27="日"</formula>
    </cfRule>
    <cfRule type="expression" dxfId="141" priority="152" stopIfTrue="1">
      <formula>$D27="土"</formula>
    </cfRule>
  </conditionalFormatting>
  <conditionalFormatting sqref="G34:H34">
    <cfRule type="expression" dxfId="140" priority="119" stopIfTrue="1">
      <formula>$D34="日"</formula>
    </cfRule>
    <cfRule type="expression" dxfId="139" priority="120" stopIfTrue="1">
      <formula>$D34="土"</formula>
    </cfRule>
  </conditionalFormatting>
  <conditionalFormatting sqref="H42">
    <cfRule type="expression" dxfId="138" priority="1765" stopIfTrue="1">
      <formula>$D42="日"</formula>
    </cfRule>
    <cfRule type="expression" dxfId="137" priority="1766" stopIfTrue="1">
      <formula>$D42="土"</formula>
    </cfRule>
  </conditionalFormatting>
  <conditionalFormatting sqref="H11:I41">
    <cfRule type="expression" dxfId="136" priority="1957" stopIfTrue="1">
      <formula>$D11="日"</formula>
    </cfRule>
    <cfRule type="expression" dxfId="135" priority="1958" stopIfTrue="1">
      <formula>$D11="土"</formula>
    </cfRule>
  </conditionalFormatting>
  <conditionalFormatting sqref="I11:I17">
    <cfRule type="expression" dxfId="134" priority="740" stopIfTrue="1">
      <formula>$D11="土"</formula>
    </cfRule>
    <cfRule type="expression" dxfId="133" priority="739" stopIfTrue="1">
      <formula>$D11="日"</formula>
    </cfRule>
  </conditionalFormatting>
  <conditionalFormatting sqref="I11:I41">
    <cfRule type="expression" dxfId="132" priority="2748" stopIfTrue="1">
      <formula>$D11="日"</formula>
    </cfRule>
  </conditionalFormatting>
  <conditionalFormatting sqref="I12">
    <cfRule type="expression" dxfId="131" priority="397" stopIfTrue="1">
      <formula>$D12="日"</formula>
    </cfRule>
    <cfRule type="expression" dxfId="130" priority="398" stopIfTrue="1">
      <formula>$D12="土"</formula>
    </cfRule>
  </conditionalFormatting>
  <conditionalFormatting sqref="I13:I18">
    <cfRule type="expression" dxfId="129" priority="708" stopIfTrue="1">
      <formula>$D13="土"</formula>
    </cfRule>
    <cfRule type="expression" dxfId="128" priority="707" stopIfTrue="1">
      <formula>$D13="日"</formula>
    </cfRule>
  </conditionalFormatting>
  <conditionalFormatting sqref="I19">
    <cfRule type="expression" dxfId="127" priority="103" stopIfTrue="1">
      <formula>$D19="日"</formula>
    </cfRule>
    <cfRule type="expression" dxfId="126" priority="104" stopIfTrue="1">
      <formula>$D19="土"</formula>
    </cfRule>
  </conditionalFormatting>
  <conditionalFormatting sqref="I19 I21:I25">
    <cfRule type="expression" dxfId="125" priority="280" stopIfTrue="1">
      <formula>$D19="土"</formula>
    </cfRule>
    <cfRule type="expression" dxfId="124" priority="279" stopIfTrue="1">
      <formula>$D19="日"</formula>
    </cfRule>
  </conditionalFormatting>
  <conditionalFormatting sqref="I21:I26 I28:I30">
    <cfRule type="expression" dxfId="123" priority="241" stopIfTrue="1">
      <formula>$D21="日"</formula>
    </cfRule>
    <cfRule type="expression" dxfId="122" priority="242" stopIfTrue="1">
      <formula>$D21="土"</formula>
    </cfRule>
  </conditionalFormatting>
  <conditionalFormatting sqref="I26:I30">
    <cfRule type="expression" dxfId="121" priority="149" stopIfTrue="1">
      <formula>$D26="日"</formula>
    </cfRule>
    <cfRule type="expression" dxfId="120" priority="150" stopIfTrue="1">
      <formula>$D26="土"</formula>
    </cfRule>
  </conditionalFormatting>
  <conditionalFormatting sqref="I27">
    <cfRule type="expression" dxfId="119" priority="145" stopIfTrue="1">
      <formula>$D27="日"</formula>
    </cfRule>
    <cfRule type="expression" dxfId="118" priority="146" stopIfTrue="1">
      <formula>$D27="土"</formula>
    </cfRule>
  </conditionalFormatting>
  <conditionalFormatting sqref="I31:I32">
    <cfRule type="expression" dxfId="117" priority="611" stopIfTrue="1">
      <formula>$D31="日"</formula>
    </cfRule>
    <cfRule type="expression" dxfId="116" priority="612" stopIfTrue="1">
      <formula>$D31="土"</formula>
    </cfRule>
  </conditionalFormatting>
  <conditionalFormatting sqref="I33">
    <cfRule type="expression" dxfId="115" priority="156" stopIfTrue="1">
      <formula>$D33="土"</formula>
    </cfRule>
    <cfRule type="expression" dxfId="114" priority="155" stopIfTrue="1">
      <formula>$D33="日"</formula>
    </cfRule>
  </conditionalFormatting>
  <conditionalFormatting sqref="I33:I37">
    <cfRule type="expression" dxfId="113" priority="117" stopIfTrue="1">
      <formula>$D33="日"</formula>
    </cfRule>
    <cfRule type="expression" dxfId="112" priority="118" stopIfTrue="1">
      <formula>$D33="土"</formula>
    </cfRule>
  </conditionalFormatting>
  <conditionalFormatting sqref="I34">
    <cfRule type="expression" dxfId="111" priority="114" stopIfTrue="1">
      <formula>$D34="土"</formula>
    </cfRule>
    <cfRule type="expression" dxfId="110" priority="113" stopIfTrue="1">
      <formula>$D34="日"</formula>
    </cfRule>
  </conditionalFormatting>
  <conditionalFormatting sqref="I35:I37">
    <cfRule type="expression" dxfId="109" priority="199" stopIfTrue="1">
      <formula>$D35="日"</formula>
    </cfRule>
    <cfRule type="expression" dxfId="108" priority="200" stopIfTrue="1">
      <formula>$D35="土"</formula>
    </cfRule>
  </conditionalFormatting>
  <conditionalFormatting sqref="I38:I39">
    <cfRule type="expression" dxfId="107" priority="563" stopIfTrue="1">
      <formula>$D38="日"</formula>
    </cfRule>
    <cfRule type="expression" dxfId="106" priority="564" stopIfTrue="1">
      <formula>$D38="土"</formula>
    </cfRule>
  </conditionalFormatting>
  <conditionalFormatting sqref="I40">
    <cfRule type="expression" dxfId="105" priority="347" stopIfTrue="1">
      <formula>$D40="日"</formula>
    </cfRule>
    <cfRule type="expression" dxfId="104" priority="348" stopIfTrue="1">
      <formula>$D40="土"</formula>
    </cfRule>
  </conditionalFormatting>
  <conditionalFormatting sqref="I40:I41">
    <cfRule type="expression" dxfId="103" priority="349" stopIfTrue="1">
      <formula>$D40="日"</formula>
    </cfRule>
    <cfRule type="expression" dxfId="102" priority="350" stopIfTrue="1">
      <formula>$D40="土"</formula>
    </cfRule>
  </conditionalFormatting>
  <conditionalFormatting sqref="I20">
    <cfRule type="expression" dxfId="100" priority="101" stopIfTrue="1">
      <formula>$D20="日"</formula>
    </cfRule>
    <cfRule type="expression" dxfId="101" priority="102" stopIfTrue="1">
      <formula>$D20="土"</formula>
    </cfRule>
  </conditionalFormatting>
  <conditionalFormatting sqref="I20">
    <cfRule type="expression" dxfId="98" priority="99" stopIfTrue="1">
      <formula>$D20="日"</formula>
    </cfRule>
    <cfRule type="expression" dxfId="99" priority="100" stopIfTrue="1">
      <formula>$D20="土"</formula>
    </cfRule>
  </conditionalFormatting>
  <conditionalFormatting sqref="E19:E21">
    <cfRule type="expression" dxfId="96" priority="95" stopIfTrue="1">
      <formula>$D19="日"</formula>
    </cfRule>
    <cfRule type="expression" dxfId="97" priority="96" stopIfTrue="1">
      <formula>$D19="土"</formula>
    </cfRule>
  </conditionalFormatting>
  <conditionalFormatting sqref="E19:E21">
    <cfRule type="expression" dxfId="94" priority="97" stopIfTrue="1">
      <formula>$D19="日"</formula>
    </cfRule>
    <cfRule type="expression" dxfId="95" priority="98" stopIfTrue="1">
      <formula>$D19="土"</formula>
    </cfRule>
  </conditionalFormatting>
  <conditionalFormatting sqref="E23">
    <cfRule type="expression" dxfId="92" priority="91" stopIfTrue="1">
      <formula>$D23="日"</formula>
    </cfRule>
    <cfRule type="expression" dxfId="93" priority="92" stopIfTrue="1">
      <formula>$D23="土"</formula>
    </cfRule>
  </conditionalFormatting>
  <conditionalFormatting sqref="E23">
    <cfRule type="expression" dxfId="90" priority="93" stopIfTrue="1">
      <formula>$D23="日"</formula>
    </cfRule>
    <cfRule type="expression" dxfId="91" priority="94" stopIfTrue="1">
      <formula>$D23="土"</formula>
    </cfRule>
  </conditionalFormatting>
  <conditionalFormatting sqref="E27:E28">
    <cfRule type="expression" dxfId="88" priority="73" stopIfTrue="1">
      <formula>$D27="日"</formula>
    </cfRule>
    <cfRule type="expression" dxfId="89" priority="74" stopIfTrue="1">
      <formula>$D27="土"</formula>
    </cfRule>
  </conditionalFormatting>
  <conditionalFormatting sqref="E27:E28">
    <cfRule type="expression" dxfId="82" priority="77" stopIfTrue="1">
      <formula>$D27="日"</formula>
    </cfRule>
    <cfRule type="expression" dxfId="78" priority="78" stopIfTrue="1">
      <formula>$D27="土"</formula>
    </cfRule>
    <cfRule type="expression" dxfId="84" priority="79" stopIfTrue="1">
      <formula>$D27="日"</formula>
    </cfRule>
    <cfRule type="expression" dxfId="85" priority="80" stopIfTrue="1">
      <formula>$D27="土"</formula>
    </cfRule>
    <cfRule type="expression" dxfId="86" priority="81" stopIfTrue="1">
      <formula>$D27="日"</formula>
    </cfRule>
    <cfRule type="expression" dxfId="87" priority="82" stopIfTrue="1">
      <formula>$D27="土"</formula>
    </cfRule>
    <cfRule type="expression" dxfId="83" priority="83" stopIfTrue="1">
      <formula>$D27="日"</formula>
    </cfRule>
    <cfRule type="expression" dxfId="81" priority="84" stopIfTrue="1">
      <formula>$D27="土"</formula>
    </cfRule>
    <cfRule type="expression" dxfId="80" priority="85" stopIfTrue="1">
      <formula>$D27="日"</formula>
    </cfRule>
    <cfRule type="expression" dxfId="79" priority="86" stopIfTrue="1">
      <formula>$D27="土"</formula>
    </cfRule>
  </conditionalFormatting>
  <conditionalFormatting sqref="E27:E28">
    <cfRule type="expression" dxfId="76" priority="75" stopIfTrue="1">
      <formula>$D27="日"</formula>
    </cfRule>
    <cfRule type="expression" dxfId="77" priority="76" stopIfTrue="1">
      <formula>$D27="土"</formula>
    </cfRule>
  </conditionalFormatting>
  <conditionalFormatting sqref="E27:E28">
    <cfRule type="expression" dxfId="75" priority="89" stopIfTrue="1">
      <formula>$D27="日"</formula>
    </cfRule>
    <cfRule type="expression" dxfId="74" priority="90" stopIfTrue="1">
      <formula>$D27="土"</formula>
    </cfRule>
  </conditionalFormatting>
  <conditionalFormatting sqref="E27:E28">
    <cfRule type="expression" dxfId="73" priority="87" stopIfTrue="1">
      <formula>$D27="日"</formula>
    </cfRule>
  </conditionalFormatting>
  <conditionalFormatting sqref="E27:E28">
    <cfRule type="expression" dxfId="72" priority="88" stopIfTrue="1">
      <formula>$D27="土"</formula>
    </cfRule>
  </conditionalFormatting>
  <conditionalFormatting sqref="E30">
    <cfRule type="expression" dxfId="70" priority="55" stopIfTrue="1">
      <formula>$D30="日"</formula>
    </cfRule>
    <cfRule type="expression" dxfId="71" priority="56" stopIfTrue="1">
      <formula>$D30="土"</formula>
    </cfRule>
  </conditionalFormatting>
  <conditionalFormatting sqref="E30">
    <cfRule type="expression" dxfId="64" priority="59" stopIfTrue="1">
      <formula>$D30="日"</formula>
    </cfRule>
    <cfRule type="expression" dxfId="60" priority="60" stopIfTrue="1">
      <formula>$D30="土"</formula>
    </cfRule>
    <cfRule type="expression" dxfId="66" priority="61" stopIfTrue="1">
      <formula>$D30="日"</formula>
    </cfRule>
    <cfRule type="expression" dxfId="67" priority="62" stopIfTrue="1">
      <formula>$D30="土"</formula>
    </cfRule>
    <cfRule type="expression" dxfId="68" priority="63" stopIfTrue="1">
      <formula>$D30="日"</formula>
    </cfRule>
    <cfRule type="expression" dxfId="69" priority="64" stopIfTrue="1">
      <formula>$D30="土"</formula>
    </cfRule>
    <cfRule type="expression" dxfId="65" priority="65" stopIfTrue="1">
      <formula>$D30="日"</formula>
    </cfRule>
    <cfRule type="expression" dxfId="63" priority="66" stopIfTrue="1">
      <formula>$D30="土"</formula>
    </cfRule>
    <cfRule type="expression" dxfId="62" priority="67" stopIfTrue="1">
      <formula>$D30="日"</formula>
    </cfRule>
    <cfRule type="expression" dxfId="61" priority="68" stopIfTrue="1">
      <formula>$D30="土"</formula>
    </cfRule>
  </conditionalFormatting>
  <conditionalFormatting sqref="E30">
    <cfRule type="expression" dxfId="58" priority="57" stopIfTrue="1">
      <formula>$D30="日"</formula>
    </cfRule>
    <cfRule type="expression" dxfId="59" priority="58" stopIfTrue="1">
      <formula>$D30="土"</formula>
    </cfRule>
  </conditionalFormatting>
  <conditionalFormatting sqref="E30">
    <cfRule type="expression" dxfId="57" priority="71" stopIfTrue="1">
      <formula>$D30="日"</formula>
    </cfRule>
    <cfRule type="expression" dxfId="56" priority="72" stopIfTrue="1">
      <formula>$D30="土"</formula>
    </cfRule>
  </conditionalFormatting>
  <conditionalFormatting sqref="E30">
    <cfRule type="expression" dxfId="55" priority="69" stopIfTrue="1">
      <formula>$D30="日"</formula>
    </cfRule>
  </conditionalFormatting>
  <conditionalFormatting sqref="E30">
    <cfRule type="expression" dxfId="54" priority="70" stopIfTrue="1">
      <formula>$D30="土"</formula>
    </cfRule>
  </conditionalFormatting>
  <conditionalFormatting sqref="E34:E35">
    <cfRule type="expression" dxfId="52" priority="37" stopIfTrue="1">
      <formula>$D34="日"</formula>
    </cfRule>
    <cfRule type="expression" dxfId="53" priority="38" stopIfTrue="1">
      <formula>$D34="土"</formula>
    </cfRule>
  </conditionalFormatting>
  <conditionalFormatting sqref="E34:E35">
    <cfRule type="expression" dxfId="46" priority="41" stopIfTrue="1">
      <formula>$D34="日"</formula>
    </cfRule>
    <cfRule type="expression" dxfId="42" priority="42" stopIfTrue="1">
      <formula>$D34="土"</formula>
    </cfRule>
    <cfRule type="expression" dxfId="48" priority="43" stopIfTrue="1">
      <formula>$D34="日"</formula>
    </cfRule>
    <cfRule type="expression" dxfId="49" priority="44" stopIfTrue="1">
      <formula>$D34="土"</formula>
    </cfRule>
    <cfRule type="expression" dxfId="50" priority="45" stopIfTrue="1">
      <formula>$D34="日"</formula>
    </cfRule>
    <cfRule type="expression" dxfId="51" priority="46" stopIfTrue="1">
      <formula>$D34="土"</formula>
    </cfRule>
    <cfRule type="expression" dxfId="47" priority="47" stopIfTrue="1">
      <formula>$D34="日"</formula>
    </cfRule>
    <cfRule type="expression" dxfId="45" priority="48" stopIfTrue="1">
      <formula>$D34="土"</formula>
    </cfRule>
    <cfRule type="expression" dxfId="44" priority="49" stopIfTrue="1">
      <formula>$D34="日"</formula>
    </cfRule>
    <cfRule type="expression" dxfId="43" priority="50" stopIfTrue="1">
      <formula>$D34="土"</formula>
    </cfRule>
  </conditionalFormatting>
  <conditionalFormatting sqref="E34:E35">
    <cfRule type="expression" dxfId="40" priority="39" stopIfTrue="1">
      <formula>$D34="日"</formula>
    </cfRule>
    <cfRule type="expression" dxfId="41" priority="40" stopIfTrue="1">
      <formula>$D34="土"</formula>
    </cfRule>
  </conditionalFormatting>
  <conditionalFormatting sqref="E34:E35">
    <cfRule type="expression" dxfId="39" priority="53" stopIfTrue="1">
      <formula>$D34="日"</formula>
    </cfRule>
    <cfRule type="expression" dxfId="38" priority="54" stopIfTrue="1">
      <formula>$D34="土"</formula>
    </cfRule>
  </conditionalFormatting>
  <conditionalFormatting sqref="E34:E35">
    <cfRule type="expression" dxfId="37" priority="51" stopIfTrue="1">
      <formula>$D34="日"</formula>
    </cfRule>
  </conditionalFormatting>
  <conditionalFormatting sqref="E34:E35">
    <cfRule type="expression" dxfId="36" priority="52" stopIfTrue="1">
      <formula>$D34="土"</formula>
    </cfRule>
  </conditionalFormatting>
  <conditionalFormatting sqref="E37">
    <cfRule type="expression" dxfId="34" priority="19" stopIfTrue="1">
      <formula>$D37="日"</formula>
    </cfRule>
    <cfRule type="expression" dxfId="35" priority="20" stopIfTrue="1">
      <formula>$D37="土"</formula>
    </cfRule>
  </conditionalFormatting>
  <conditionalFormatting sqref="E37">
    <cfRule type="expression" dxfId="28" priority="23" stopIfTrue="1">
      <formula>$D37="日"</formula>
    </cfRule>
    <cfRule type="expression" dxfId="24" priority="24" stopIfTrue="1">
      <formula>$D37="土"</formula>
    </cfRule>
    <cfRule type="expression" dxfId="30" priority="25" stopIfTrue="1">
      <formula>$D37="日"</formula>
    </cfRule>
    <cfRule type="expression" dxfId="31" priority="26" stopIfTrue="1">
      <formula>$D37="土"</formula>
    </cfRule>
    <cfRule type="expression" dxfId="32" priority="27" stopIfTrue="1">
      <formula>$D37="日"</formula>
    </cfRule>
    <cfRule type="expression" dxfId="33" priority="28" stopIfTrue="1">
      <formula>$D37="土"</formula>
    </cfRule>
    <cfRule type="expression" dxfId="29" priority="29" stopIfTrue="1">
      <formula>$D37="日"</formula>
    </cfRule>
    <cfRule type="expression" dxfId="27" priority="30" stopIfTrue="1">
      <formula>$D37="土"</formula>
    </cfRule>
    <cfRule type="expression" dxfId="26" priority="31" stopIfTrue="1">
      <formula>$D37="日"</formula>
    </cfRule>
    <cfRule type="expression" dxfId="25" priority="32" stopIfTrue="1">
      <formula>$D37="土"</formula>
    </cfRule>
  </conditionalFormatting>
  <conditionalFormatting sqref="E37">
    <cfRule type="expression" dxfId="22" priority="21" stopIfTrue="1">
      <formula>$D37="日"</formula>
    </cfRule>
    <cfRule type="expression" dxfId="23" priority="22" stopIfTrue="1">
      <formula>$D37="土"</formula>
    </cfRule>
  </conditionalFormatting>
  <conditionalFormatting sqref="E37">
    <cfRule type="expression" dxfId="21" priority="35" stopIfTrue="1">
      <formula>$D37="日"</formula>
    </cfRule>
    <cfRule type="expression" dxfId="20" priority="36" stopIfTrue="1">
      <formula>$D37="土"</formula>
    </cfRule>
  </conditionalFormatting>
  <conditionalFormatting sqref="E37">
    <cfRule type="expression" dxfId="19" priority="33" stopIfTrue="1">
      <formula>$D37="日"</formula>
    </cfRule>
  </conditionalFormatting>
  <conditionalFormatting sqref="E37">
    <cfRule type="expression" dxfId="18" priority="34" stopIfTrue="1">
      <formula>$D37="土"</formula>
    </cfRule>
  </conditionalFormatting>
  <conditionalFormatting sqref="E40">
    <cfRule type="expression" dxfId="16" priority="1" stopIfTrue="1">
      <formula>$D40="日"</formula>
    </cfRule>
    <cfRule type="expression" dxfId="17" priority="2" stopIfTrue="1">
      <formula>$D40="土"</formula>
    </cfRule>
  </conditionalFormatting>
  <conditionalFormatting sqref="E40">
    <cfRule type="expression" dxfId="10" priority="5" stopIfTrue="1">
      <formula>$D40="日"</formula>
    </cfRule>
    <cfRule type="expression" dxfId="6" priority="6" stopIfTrue="1">
      <formula>$D40="土"</formula>
    </cfRule>
    <cfRule type="expression" dxfId="12" priority="7" stopIfTrue="1">
      <formula>$D40="日"</formula>
    </cfRule>
    <cfRule type="expression" dxfId="13" priority="8" stopIfTrue="1">
      <formula>$D40="土"</formula>
    </cfRule>
    <cfRule type="expression" dxfId="14" priority="9" stopIfTrue="1">
      <formula>$D40="日"</formula>
    </cfRule>
    <cfRule type="expression" dxfId="15" priority="10" stopIfTrue="1">
      <formula>$D40="土"</formula>
    </cfRule>
    <cfRule type="expression" dxfId="11" priority="11" stopIfTrue="1">
      <formula>$D40="日"</formula>
    </cfRule>
    <cfRule type="expression" dxfId="9" priority="12" stopIfTrue="1">
      <formula>$D40="土"</formula>
    </cfRule>
    <cfRule type="expression" dxfId="8" priority="13" stopIfTrue="1">
      <formula>$D40="日"</formula>
    </cfRule>
    <cfRule type="expression" dxfId="7" priority="14" stopIfTrue="1">
      <formula>$D40="土"</formula>
    </cfRule>
  </conditionalFormatting>
  <conditionalFormatting sqref="E40">
    <cfRule type="expression" dxfId="4" priority="3" stopIfTrue="1">
      <formula>$D40="日"</formula>
    </cfRule>
    <cfRule type="expression" dxfId="5" priority="4" stopIfTrue="1">
      <formula>$D40="土"</formula>
    </cfRule>
  </conditionalFormatting>
  <conditionalFormatting sqref="E40">
    <cfRule type="expression" dxfId="3" priority="17" stopIfTrue="1">
      <formula>$D40="日"</formula>
    </cfRule>
    <cfRule type="expression" dxfId="2" priority="18" stopIfTrue="1">
      <formula>$D40="土"</formula>
    </cfRule>
  </conditionalFormatting>
  <conditionalFormatting sqref="E40">
    <cfRule type="expression" dxfId="1" priority="15" stopIfTrue="1">
      <formula>$D40="日"</formula>
    </cfRule>
  </conditionalFormatting>
  <conditionalFormatting sqref="E40">
    <cfRule type="expression" dxfId="0" priority="16" stopIfTrue="1">
      <formula>$D40="土"</formula>
    </cfRule>
  </conditionalFormatting>
  <dataValidations disablePrompts="1" count="1">
    <dataValidation type="list" allowBlank="1" showDropDown="1" showInputMessage="1" showErrorMessage="1" sqref="J3:K3" xr:uid="{00000000-0002-0000-0000-000000000000}">
      <formula1>$N$17:$N$208</formula1>
    </dataValidation>
  </dataValidations>
  <hyperlinks>
    <hyperlink ref="D7" r:id="rId1" xr:uid="{00000000-0004-0000-0000-000000000000}"/>
  </hyperlinks>
  <printOptions horizontalCentered="1" verticalCentered="1"/>
  <pageMargins left="0" right="0" top="0" bottom="0" header="0" footer="0"/>
  <pageSetup paperSize="9" scale="7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Macintosh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作業報告書</vt:lpstr>
      <vt:lpstr>作業報告書!Print_Area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石井　貴恵</dc:creator>
  <cp:keywords/>
  <dc:description/>
  <cp:lastModifiedBy>Hiromi Matsubara [LIFULL]</cp:lastModifiedBy>
  <cp:revision>1</cp:revision>
  <cp:lastPrinted>2021-08-31T06:10:25Z</cp:lastPrinted>
  <dcterms:created xsi:type="dcterms:W3CDTF">2012-05-23T08:25:52Z</dcterms:created>
  <dcterms:modified xsi:type="dcterms:W3CDTF">2024-09-03T10:03:37Z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1041-10.8.0.5416</vt:lpwstr>
  </property>
</Properties>
</file>